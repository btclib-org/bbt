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over R" sheetId="1" state="visible" r:id="rId1"/>
    <sheet name="EC over F" sheetId="2" state="visible" r:id="rId2"/>
    <sheet name="Finite Field" sheetId="3" state="visible" r:id="rId3"/>
  </sheets>
  <definedNames>
    <definedName name="a">'EC over F'!$B$1</definedName>
    <definedName name="b">'EC over F'!$B$2</definedName>
    <definedName name="prime">'EC over F'!$B$3</definedName>
    <definedName name="Gx">'Finite Field'!$B$1</definedName>
    <definedName name="Gy">'Finite Field'!$B$2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13"/>
  <chart>
    <title>
      <tx>
        <rich>
          <a:bodyPr/>
          <a:p>
            <a:pPr>
              <a:defRPr/>
            </a:pPr>
            <a:r>
              <a:t>y^2 = x^3 + 2x + 4 over R</a:t>
            </a:r>
          </a:p>
        </rich>
      </tx>
    </title>
    <plotArea>
      <scatterChart>
        <scatterStyle val="smooth"/>
        <ser>
          <idx val="0"/>
          <order val="0"/>
          <tx>
            <v>y = +sqrt(x^3+ax+b)</v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'EC over R'!$A$3:$A$123</f>
            </numRef>
          </xVal>
          <yVal>
            <numRef>
              <f>'EC over R'!$B$3:$B$123</f>
            </numRef>
          </yVal>
          <smooth val="1"/>
        </ser>
        <ser>
          <idx val="1"/>
          <order val="1"/>
          <tx>
            <v>y = -sqrt(x^3+ax+b)</v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'EC over R'!$A$3:$A$123</f>
            </numRef>
          </xVal>
          <yVal>
            <numRef>
              <f>'EC over R'!$C$3:$C$123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20"/>
        <crosses val="autoZero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10"/>
        <crosses val="autoZero"/>
      </valAx>
      <spPr>
        <a:solidFill>
          <a:srgbClr val="FFFFFF"/>
        </a:solidFill>
        <a:ln>
          <a:noFill/>
          <a:prstDash val="solid"/>
        </a:ln>
      </spPr>
    </plotArea>
    <legend>
      <legendPos val="r"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roundedCorners val="0"/>
  <style val="13"/>
  <chart>
    <title>
      <tx>
        <rich>
          <a:bodyPr/>
          <a:p>
            <a:pPr>
              <a:defRPr/>
            </a:pPr>
            <a:r>
              <a:t>y^2 = x^3 + 2x + 4 over F7</a:t>
            </a:r>
          </a:p>
        </rich>
      </tx>
    </title>
    <plotArea>
      <scatterChart>
        <scatterStyle val="marker"/>
        <ser>
          <idx val="0"/>
          <order val="0"/>
          <tx>
            <v>y (odd root)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spPr>
          </marker>
          <xVal>
            <numRef>
              <f>'EC over F'!$A$8:$A$14</f>
            </numRef>
          </xVal>
          <yVal>
            <numRef>
              <f>'EC over F'!$C$8:$C$14</f>
            </numRef>
          </yVal>
          <smooth val="0"/>
        </ser>
        <ser>
          <idx val="1"/>
          <order val="1"/>
          <tx>
            <v>-y (even root)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spPr>
          </marker>
          <xVal>
            <numRef>
              <f>'EC over F'!$A$8:$A$14</f>
            </numRef>
          </xVal>
          <yVal>
            <numRef>
              <f>'EC over F'!$D$8:$D$14</f>
            </numRef>
          </yVal>
          <smooth val="0"/>
        </ser>
        <ser>
          <idx val="2"/>
          <order val="2"/>
          <tx>
            <v>symmetry axis</v>
          </tx>
          <spPr>
            <a:ln w="9525">
              <a:solidFill>
                <a:srgbClr val="80808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'EC over F'!$F$1:$F$2</f>
            </numRef>
          </xVal>
          <yVal>
            <numRef>
              <f>'EC over F'!$G$1:$G$2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10"/>
      </valAx>
      <spPr>
        <a:solidFill>
          <a:srgbClr val="FFFFFF"/>
        </a:solidFill>
        <a:ln>
          <a:noFill/>
          <a:prstDash val="solid"/>
        </a:ln>
      </spPr>
    </plotArea>
    <legend>
      <legendPos val="r"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roundedCorners val="0"/>
  <style val="13"/>
  <chart>
    <title>
      <tx>
        <rich>
          <a:bodyPr/>
          <a:p>
            <a:pPr>
              <a:defRPr/>
            </a:pPr>
            <a:r>
              <a:t>multiples of G = (0,2) over F7</a:t>
            </a:r>
          </a:p>
        </rich>
      </tx>
    </title>
    <plotArea>
      <scatterChart>
        <scatterStyle val="lineMarker"/>
        <ser>
          <idx val="0"/>
          <order val="0"/>
          <tx>
            <v>k*G, k = 1, 2, ...</v>
          </tx>
          <spPr>
            <a:ln w="3175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xVal>
            <numRef>
              <f>'Finite Field'!$B$6:$B$15</f>
            </numRef>
          </xVal>
          <yVal>
            <numRef>
              <f>'Finite Field'!$C$6:$C$15</f>
            </numRef>
          </yVal>
          <smooth val="0"/>
        </ser>
        <ser>
          <idx val="1"/>
          <order val="1"/>
          <tx>
            <v>symmetry axis</v>
          </tx>
          <spPr>
            <a:ln w="9525">
              <a:solidFill>
                <a:srgbClr val="80808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'Finite Field'!$D$1:$D$2</f>
            </numRef>
          </xVal>
          <yVal>
            <numRef>
              <f>'Finite Field'!$E$1:$E$2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20"/>
      </valAx>
      <valAx>
        <axId val="2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out"/>
        <minorTickMark val="none"/>
        <tickLblPos val="low"/>
        <spPr>
          <a:ln w="9525">
            <a:solidFill>
              <a:srgbClr val="000000"/>
            </a:solidFill>
            <a:prstDash val="solid"/>
          </a:ln>
        </spPr>
        <crossAx val="10"/>
      </valAx>
      <spPr>
        <a:solidFill>
          <a:srgbClr val="FFFFFF"/>
        </a:solidFill>
        <a:ln>
          <a:noFill/>
          <a:prstDash val="solid"/>
        </a:ln>
      </spPr>
    </plotArea>
    <legend>
      <legendPos val="r"/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12.6640625" customWidth="1" min="1" max="1"/>
    <col width="14.5" customWidth="1" min="2" max="2"/>
    <col width="15" customWidth="1" min="3" max="3"/>
  </cols>
  <sheetData>
    <row r="1">
      <c r="A1" t="inlineStr">
        <is>
          <t>step</t>
        </is>
      </c>
      <c r="B1" t="n">
        <v>0.03333333333333333</v>
      </c>
    </row>
    <row r="2">
      <c r="A2" t="inlineStr">
        <is>
          <t>x (real)</t>
        </is>
      </c>
      <c r="B2" t="inlineStr">
        <is>
          <t>y = sqrt(x^3+ax+b)</t>
        </is>
      </c>
      <c r="C2" t="inlineStr">
        <is>
          <t>y = -sqrt(x^3+ax+b)</t>
        </is>
      </c>
    </row>
    <row r="3">
      <c r="A3" t="n">
        <v>-1.179509024602917</v>
      </c>
      <c r="B3">
        <f>IF((A3^3+a*A3+b)&lt;-1e-06,NA(),SQRT(MAX(0,(A3^3+a*A3+b))))</f>
        <v/>
      </c>
      <c r="C3">
        <f>IF((A3^3+a*A3+b)&lt;-1e-06,NA(),-SQRT(MAX(0,(A3^3+a*A3+b))))</f>
        <v/>
      </c>
    </row>
    <row r="4">
      <c r="A4">
        <f>A3+$B$1</f>
        <v/>
      </c>
      <c r="B4">
        <f>IF((A4^3+a*A4+b)&lt;-1e-06,NA(),SQRT(MAX(0,(A4^3+a*A4+b))))</f>
        <v/>
      </c>
      <c r="C4">
        <f>IF((A4^3+a*A4+b)&lt;-1e-06,NA(),-SQRT(MAX(0,(A4^3+a*A4+b))))</f>
        <v/>
      </c>
    </row>
    <row r="5">
      <c r="A5">
        <f>A4+$B$1</f>
        <v/>
      </c>
      <c r="B5">
        <f>IF((A5^3+a*A5+b)&lt;-1e-06,NA(),SQRT(MAX(0,(A5^3+a*A5+b))))</f>
        <v/>
      </c>
      <c r="C5">
        <f>IF((A5^3+a*A5+b)&lt;-1e-06,NA(),-SQRT(MAX(0,(A5^3+a*A5+b))))</f>
        <v/>
      </c>
    </row>
    <row r="6">
      <c r="A6">
        <f>A5+$B$1</f>
        <v/>
      </c>
      <c r="B6">
        <f>IF((A6^3+a*A6+b)&lt;-1e-06,NA(),SQRT(MAX(0,(A6^3+a*A6+b))))</f>
        <v/>
      </c>
      <c r="C6">
        <f>IF((A6^3+a*A6+b)&lt;-1e-06,NA(),-SQRT(MAX(0,(A6^3+a*A6+b))))</f>
        <v/>
      </c>
    </row>
    <row r="7">
      <c r="A7">
        <f>A6+$B$1</f>
        <v/>
      </c>
      <c r="B7">
        <f>IF((A7^3+a*A7+b)&lt;-1e-06,NA(),SQRT(MAX(0,(A7^3+a*A7+b))))</f>
        <v/>
      </c>
      <c r="C7">
        <f>IF((A7^3+a*A7+b)&lt;-1e-06,NA(),-SQRT(MAX(0,(A7^3+a*A7+b))))</f>
        <v/>
      </c>
    </row>
    <row r="8">
      <c r="A8">
        <f>A7+$B$1</f>
        <v/>
      </c>
      <c r="B8">
        <f>IF((A8^3+a*A8+b)&lt;-1e-06,NA(),SQRT(MAX(0,(A8^3+a*A8+b))))</f>
        <v/>
      </c>
      <c r="C8">
        <f>IF((A8^3+a*A8+b)&lt;-1e-06,NA(),-SQRT(MAX(0,(A8^3+a*A8+b))))</f>
        <v/>
      </c>
    </row>
    <row r="9">
      <c r="A9">
        <f>A8+$B$1</f>
        <v/>
      </c>
      <c r="B9">
        <f>IF((A9^3+a*A9+b)&lt;-1e-06,NA(),SQRT(MAX(0,(A9^3+a*A9+b))))</f>
        <v/>
      </c>
      <c r="C9">
        <f>IF((A9^3+a*A9+b)&lt;-1e-06,NA(),-SQRT(MAX(0,(A9^3+a*A9+b))))</f>
        <v/>
      </c>
    </row>
    <row r="10">
      <c r="A10">
        <f>A9+$B$1</f>
        <v/>
      </c>
      <c r="B10">
        <f>IF((A10^3+a*A10+b)&lt;-1e-06,NA(),SQRT(MAX(0,(A10^3+a*A10+b))))</f>
        <v/>
      </c>
      <c r="C10">
        <f>IF((A10^3+a*A10+b)&lt;-1e-06,NA(),-SQRT(MAX(0,(A10^3+a*A10+b))))</f>
        <v/>
      </c>
    </row>
    <row r="11">
      <c r="A11">
        <f>A10+$B$1</f>
        <v/>
      </c>
      <c r="B11">
        <f>IF((A11^3+a*A11+b)&lt;-1e-06,NA(),SQRT(MAX(0,(A11^3+a*A11+b))))</f>
        <v/>
      </c>
      <c r="C11">
        <f>IF((A11^3+a*A11+b)&lt;-1e-06,NA(),-SQRT(MAX(0,(A11^3+a*A11+b))))</f>
        <v/>
      </c>
    </row>
    <row r="12">
      <c r="A12">
        <f>A11+$B$1</f>
        <v/>
      </c>
      <c r="B12">
        <f>IF((A12^3+a*A12+b)&lt;-1e-06,NA(),SQRT(MAX(0,(A12^3+a*A12+b))))</f>
        <v/>
      </c>
      <c r="C12">
        <f>IF((A12^3+a*A12+b)&lt;-1e-06,NA(),-SQRT(MAX(0,(A12^3+a*A12+b))))</f>
        <v/>
      </c>
    </row>
    <row r="13">
      <c r="A13">
        <f>A12+$B$1</f>
        <v/>
      </c>
      <c r="B13">
        <f>IF((A13^3+a*A13+b)&lt;-1e-06,NA(),SQRT(MAX(0,(A13^3+a*A13+b))))</f>
        <v/>
      </c>
      <c r="C13">
        <f>IF((A13^3+a*A13+b)&lt;-1e-06,NA(),-SQRT(MAX(0,(A13^3+a*A13+b))))</f>
        <v/>
      </c>
    </row>
    <row r="14">
      <c r="A14">
        <f>A13+$B$1</f>
        <v/>
      </c>
      <c r="B14">
        <f>IF((A14^3+a*A14+b)&lt;-1e-06,NA(),SQRT(MAX(0,(A14^3+a*A14+b))))</f>
        <v/>
      </c>
      <c r="C14">
        <f>IF((A14^3+a*A14+b)&lt;-1e-06,NA(),-SQRT(MAX(0,(A14^3+a*A14+b))))</f>
        <v/>
      </c>
    </row>
    <row r="15">
      <c r="A15">
        <f>A14+$B$1</f>
        <v/>
      </c>
      <c r="B15">
        <f>IF((A15^3+a*A15+b)&lt;-1e-06,NA(),SQRT(MAX(0,(A15^3+a*A15+b))))</f>
        <v/>
      </c>
      <c r="C15">
        <f>IF((A15^3+a*A15+b)&lt;-1e-06,NA(),-SQRT(MAX(0,(A15^3+a*A15+b))))</f>
        <v/>
      </c>
    </row>
    <row r="16">
      <c r="A16">
        <f>A15+$B$1</f>
        <v/>
      </c>
      <c r="B16">
        <f>IF((A16^3+a*A16+b)&lt;-1e-06,NA(),SQRT(MAX(0,(A16^3+a*A16+b))))</f>
        <v/>
      </c>
      <c r="C16">
        <f>IF((A16^3+a*A16+b)&lt;-1e-06,NA(),-SQRT(MAX(0,(A16^3+a*A16+b))))</f>
        <v/>
      </c>
    </row>
    <row r="17">
      <c r="A17">
        <f>A16+$B$1</f>
        <v/>
      </c>
      <c r="B17">
        <f>IF((A17^3+a*A17+b)&lt;-1e-06,NA(),SQRT(MAX(0,(A17^3+a*A17+b))))</f>
        <v/>
      </c>
      <c r="C17">
        <f>IF((A17^3+a*A17+b)&lt;-1e-06,NA(),-SQRT(MAX(0,(A17^3+a*A17+b))))</f>
        <v/>
      </c>
    </row>
    <row r="18">
      <c r="A18">
        <f>A17+$B$1</f>
        <v/>
      </c>
      <c r="B18">
        <f>IF((A18^3+a*A18+b)&lt;-1e-06,NA(),SQRT(MAX(0,(A18^3+a*A18+b))))</f>
        <v/>
      </c>
      <c r="C18">
        <f>IF((A18^3+a*A18+b)&lt;-1e-06,NA(),-SQRT(MAX(0,(A18^3+a*A18+b))))</f>
        <v/>
      </c>
    </row>
    <row r="19">
      <c r="A19">
        <f>A18+$B$1</f>
        <v/>
      </c>
      <c r="B19">
        <f>IF((A19^3+a*A19+b)&lt;-1e-06,NA(),SQRT(MAX(0,(A19^3+a*A19+b))))</f>
        <v/>
      </c>
      <c r="C19">
        <f>IF((A19^3+a*A19+b)&lt;-1e-06,NA(),-SQRT(MAX(0,(A19^3+a*A19+b))))</f>
        <v/>
      </c>
    </row>
    <row r="20">
      <c r="A20">
        <f>A19+$B$1</f>
        <v/>
      </c>
      <c r="B20">
        <f>IF((A20^3+a*A20+b)&lt;-1e-06,NA(),SQRT(MAX(0,(A20^3+a*A20+b))))</f>
        <v/>
      </c>
      <c r="C20">
        <f>IF((A20^3+a*A20+b)&lt;-1e-06,NA(),-SQRT(MAX(0,(A20^3+a*A20+b))))</f>
        <v/>
      </c>
    </row>
    <row r="21">
      <c r="A21">
        <f>A20+$B$1</f>
        <v/>
      </c>
      <c r="B21">
        <f>IF((A21^3+a*A21+b)&lt;-1e-06,NA(),SQRT(MAX(0,(A21^3+a*A21+b))))</f>
        <v/>
      </c>
      <c r="C21">
        <f>IF((A21^3+a*A21+b)&lt;-1e-06,NA(),-SQRT(MAX(0,(A21^3+a*A21+b))))</f>
        <v/>
      </c>
    </row>
    <row r="22">
      <c r="A22">
        <f>A21+$B$1</f>
        <v/>
      </c>
      <c r="B22">
        <f>IF((A22^3+a*A22+b)&lt;-1e-06,NA(),SQRT(MAX(0,(A22^3+a*A22+b))))</f>
        <v/>
      </c>
      <c r="C22">
        <f>IF((A22^3+a*A22+b)&lt;-1e-06,NA(),-SQRT(MAX(0,(A22^3+a*A22+b))))</f>
        <v/>
      </c>
    </row>
    <row r="23">
      <c r="A23">
        <f>A22+$B$1</f>
        <v/>
      </c>
      <c r="B23">
        <f>IF((A23^3+a*A23+b)&lt;-1e-06,NA(),SQRT(MAX(0,(A23^3+a*A23+b))))</f>
        <v/>
      </c>
      <c r="C23">
        <f>IF((A23^3+a*A23+b)&lt;-1e-06,NA(),-SQRT(MAX(0,(A23^3+a*A23+b))))</f>
        <v/>
      </c>
    </row>
    <row r="24">
      <c r="A24">
        <f>A23+$B$1</f>
        <v/>
      </c>
      <c r="B24">
        <f>IF((A24^3+a*A24+b)&lt;-1e-06,NA(),SQRT(MAX(0,(A24^3+a*A24+b))))</f>
        <v/>
      </c>
      <c r="C24">
        <f>IF((A24^3+a*A24+b)&lt;-1e-06,NA(),-SQRT(MAX(0,(A24^3+a*A24+b))))</f>
        <v/>
      </c>
    </row>
    <row r="25">
      <c r="A25">
        <f>A24+$B$1</f>
        <v/>
      </c>
      <c r="B25">
        <f>IF((A25^3+a*A25+b)&lt;-1e-06,NA(),SQRT(MAX(0,(A25^3+a*A25+b))))</f>
        <v/>
      </c>
      <c r="C25">
        <f>IF((A25^3+a*A25+b)&lt;-1e-06,NA(),-SQRT(MAX(0,(A25^3+a*A25+b))))</f>
        <v/>
      </c>
    </row>
    <row r="26">
      <c r="A26">
        <f>A25+$B$1</f>
        <v/>
      </c>
      <c r="B26">
        <f>IF((A26^3+a*A26+b)&lt;-1e-06,NA(),SQRT(MAX(0,(A26^3+a*A26+b))))</f>
        <v/>
      </c>
      <c r="C26">
        <f>IF((A26^3+a*A26+b)&lt;-1e-06,NA(),-SQRT(MAX(0,(A26^3+a*A26+b))))</f>
        <v/>
      </c>
    </row>
    <row r="27">
      <c r="A27">
        <f>A26+$B$1</f>
        <v/>
      </c>
      <c r="B27">
        <f>IF((A27^3+a*A27+b)&lt;-1e-06,NA(),SQRT(MAX(0,(A27^3+a*A27+b))))</f>
        <v/>
      </c>
      <c r="C27">
        <f>IF((A27^3+a*A27+b)&lt;-1e-06,NA(),-SQRT(MAX(0,(A27^3+a*A27+b))))</f>
        <v/>
      </c>
    </row>
    <row r="28">
      <c r="A28">
        <f>A27+$B$1</f>
        <v/>
      </c>
      <c r="B28">
        <f>IF((A28^3+a*A28+b)&lt;-1e-06,NA(),SQRT(MAX(0,(A28^3+a*A28+b))))</f>
        <v/>
      </c>
      <c r="C28">
        <f>IF((A28^3+a*A28+b)&lt;-1e-06,NA(),-SQRT(MAX(0,(A28^3+a*A28+b))))</f>
        <v/>
      </c>
    </row>
    <row r="29">
      <c r="A29">
        <f>A28+$B$1</f>
        <v/>
      </c>
      <c r="B29">
        <f>IF((A29^3+a*A29+b)&lt;-1e-06,NA(),SQRT(MAX(0,(A29^3+a*A29+b))))</f>
        <v/>
      </c>
      <c r="C29">
        <f>IF((A29^3+a*A29+b)&lt;-1e-06,NA(),-SQRT(MAX(0,(A29^3+a*A29+b))))</f>
        <v/>
      </c>
    </row>
    <row r="30">
      <c r="A30">
        <f>A29+$B$1</f>
        <v/>
      </c>
      <c r="B30">
        <f>IF((A30^3+a*A30+b)&lt;-1e-06,NA(),SQRT(MAX(0,(A30^3+a*A30+b))))</f>
        <v/>
      </c>
      <c r="C30">
        <f>IF((A30^3+a*A30+b)&lt;-1e-06,NA(),-SQRT(MAX(0,(A30^3+a*A30+b))))</f>
        <v/>
      </c>
    </row>
    <row r="31">
      <c r="A31">
        <f>A30+$B$1</f>
        <v/>
      </c>
      <c r="B31">
        <f>IF((A31^3+a*A31+b)&lt;-1e-06,NA(),SQRT(MAX(0,(A31^3+a*A31+b))))</f>
        <v/>
      </c>
      <c r="C31">
        <f>IF((A31^3+a*A31+b)&lt;-1e-06,NA(),-SQRT(MAX(0,(A31^3+a*A31+b))))</f>
        <v/>
      </c>
    </row>
    <row r="32">
      <c r="A32">
        <f>A31+$B$1</f>
        <v/>
      </c>
      <c r="B32">
        <f>IF((A32^3+a*A32+b)&lt;-1e-06,NA(),SQRT(MAX(0,(A32^3+a*A32+b))))</f>
        <v/>
      </c>
      <c r="C32">
        <f>IF((A32^3+a*A32+b)&lt;-1e-06,NA(),-SQRT(MAX(0,(A32^3+a*A32+b))))</f>
        <v/>
      </c>
    </row>
    <row r="33">
      <c r="A33">
        <f>A32+$B$1</f>
        <v/>
      </c>
      <c r="B33">
        <f>IF((A33^3+a*A33+b)&lt;-1e-06,NA(),SQRT(MAX(0,(A33^3+a*A33+b))))</f>
        <v/>
      </c>
      <c r="C33">
        <f>IF((A33^3+a*A33+b)&lt;-1e-06,NA(),-SQRT(MAX(0,(A33^3+a*A33+b))))</f>
        <v/>
      </c>
    </row>
    <row r="34">
      <c r="A34">
        <f>A33+$B$1</f>
        <v/>
      </c>
      <c r="B34">
        <f>IF((A34^3+a*A34+b)&lt;-1e-06,NA(),SQRT(MAX(0,(A34^3+a*A34+b))))</f>
        <v/>
      </c>
      <c r="C34">
        <f>IF((A34^3+a*A34+b)&lt;-1e-06,NA(),-SQRT(MAX(0,(A34^3+a*A34+b))))</f>
        <v/>
      </c>
    </row>
    <row r="35">
      <c r="A35">
        <f>A34+$B$1</f>
        <v/>
      </c>
      <c r="B35">
        <f>IF((A35^3+a*A35+b)&lt;-1e-06,NA(),SQRT(MAX(0,(A35^3+a*A35+b))))</f>
        <v/>
      </c>
      <c r="C35">
        <f>IF((A35^3+a*A35+b)&lt;-1e-06,NA(),-SQRT(MAX(0,(A35^3+a*A35+b))))</f>
        <v/>
      </c>
    </row>
    <row r="36">
      <c r="A36">
        <f>A35+$B$1</f>
        <v/>
      </c>
      <c r="B36">
        <f>IF((A36^3+a*A36+b)&lt;-1e-06,NA(),SQRT(MAX(0,(A36^3+a*A36+b))))</f>
        <v/>
      </c>
      <c r="C36">
        <f>IF((A36^3+a*A36+b)&lt;-1e-06,NA(),-SQRT(MAX(0,(A36^3+a*A36+b))))</f>
        <v/>
      </c>
    </row>
    <row r="37">
      <c r="A37">
        <f>A36+$B$1</f>
        <v/>
      </c>
      <c r="B37">
        <f>IF((A37^3+a*A37+b)&lt;-1e-06,NA(),SQRT(MAX(0,(A37^3+a*A37+b))))</f>
        <v/>
      </c>
      <c r="C37">
        <f>IF((A37^3+a*A37+b)&lt;-1e-06,NA(),-SQRT(MAX(0,(A37^3+a*A37+b))))</f>
        <v/>
      </c>
    </row>
    <row r="38">
      <c r="A38">
        <f>A37+$B$1</f>
        <v/>
      </c>
      <c r="B38">
        <f>IF((A38^3+a*A38+b)&lt;-1e-06,NA(),SQRT(MAX(0,(A38^3+a*A38+b))))</f>
        <v/>
      </c>
      <c r="C38">
        <f>IF((A38^3+a*A38+b)&lt;-1e-06,NA(),-SQRT(MAX(0,(A38^3+a*A38+b))))</f>
        <v/>
      </c>
    </row>
    <row r="39">
      <c r="A39">
        <f>A38+$B$1</f>
        <v/>
      </c>
      <c r="B39">
        <f>IF((A39^3+a*A39+b)&lt;-1e-06,NA(),SQRT(MAX(0,(A39^3+a*A39+b))))</f>
        <v/>
      </c>
      <c r="C39">
        <f>IF((A39^3+a*A39+b)&lt;-1e-06,NA(),-SQRT(MAX(0,(A39^3+a*A39+b))))</f>
        <v/>
      </c>
    </row>
    <row r="40">
      <c r="A40">
        <f>A39+$B$1</f>
        <v/>
      </c>
      <c r="B40">
        <f>IF((A40^3+a*A40+b)&lt;-1e-06,NA(),SQRT(MAX(0,(A40^3+a*A40+b))))</f>
        <v/>
      </c>
      <c r="C40">
        <f>IF((A40^3+a*A40+b)&lt;-1e-06,NA(),-SQRT(MAX(0,(A40^3+a*A40+b))))</f>
        <v/>
      </c>
    </row>
    <row r="41">
      <c r="A41">
        <f>A40+$B$1</f>
        <v/>
      </c>
      <c r="B41">
        <f>IF((A41^3+a*A41+b)&lt;-1e-06,NA(),SQRT(MAX(0,(A41^3+a*A41+b))))</f>
        <v/>
      </c>
      <c r="C41">
        <f>IF((A41^3+a*A41+b)&lt;-1e-06,NA(),-SQRT(MAX(0,(A41^3+a*A41+b))))</f>
        <v/>
      </c>
    </row>
    <row r="42">
      <c r="A42">
        <f>A41+$B$1</f>
        <v/>
      </c>
      <c r="B42">
        <f>IF((A42^3+a*A42+b)&lt;-1e-06,NA(),SQRT(MAX(0,(A42^3+a*A42+b))))</f>
        <v/>
      </c>
      <c r="C42">
        <f>IF((A42^3+a*A42+b)&lt;-1e-06,NA(),-SQRT(MAX(0,(A42^3+a*A42+b))))</f>
        <v/>
      </c>
    </row>
    <row r="43">
      <c r="A43">
        <f>A42+$B$1</f>
        <v/>
      </c>
      <c r="B43">
        <f>IF((A43^3+a*A43+b)&lt;-1e-06,NA(),SQRT(MAX(0,(A43^3+a*A43+b))))</f>
        <v/>
      </c>
      <c r="C43">
        <f>IF((A43^3+a*A43+b)&lt;-1e-06,NA(),-SQRT(MAX(0,(A43^3+a*A43+b))))</f>
        <v/>
      </c>
    </row>
    <row r="44">
      <c r="A44">
        <f>A43+$B$1</f>
        <v/>
      </c>
      <c r="B44">
        <f>IF((A44^3+a*A44+b)&lt;-1e-06,NA(),SQRT(MAX(0,(A44^3+a*A44+b))))</f>
        <v/>
      </c>
      <c r="C44">
        <f>IF((A44^3+a*A44+b)&lt;-1e-06,NA(),-SQRT(MAX(0,(A44^3+a*A44+b))))</f>
        <v/>
      </c>
    </row>
    <row r="45">
      <c r="A45">
        <f>A44+$B$1</f>
        <v/>
      </c>
      <c r="B45">
        <f>IF((A45^3+a*A45+b)&lt;-1e-06,NA(),SQRT(MAX(0,(A45^3+a*A45+b))))</f>
        <v/>
      </c>
      <c r="C45">
        <f>IF((A45^3+a*A45+b)&lt;-1e-06,NA(),-SQRT(MAX(0,(A45^3+a*A45+b))))</f>
        <v/>
      </c>
    </row>
    <row r="46">
      <c r="A46">
        <f>A45+$B$1</f>
        <v/>
      </c>
      <c r="B46">
        <f>IF((A46^3+a*A46+b)&lt;-1e-06,NA(),SQRT(MAX(0,(A46^3+a*A46+b))))</f>
        <v/>
      </c>
      <c r="C46">
        <f>IF((A46^3+a*A46+b)&lt;-1e-06,NA(),-SQRT(MAX(0,(A46^3+a*A46+b))))</f>
        <v/>
      </c>
    </row>
    <row r="47">
      <c r="A47">
        <f>A46+$B$1</f>
        <v/>
      </c>
      <c r="B47">
        <f>IF((A47^3+a*A47+b)&lt;-1e-06,NA(),SQRT(MAX(0,(A47^3+a*A47+b))))</f>
        <v/>
      </c>
      <c r="C47">
        <f>IF((A47^3+a*A47+b)&lt;-1e-06,NA(),-SQRT(MAX(0,(A47^3+a*A47+b))))</f>
        <v/>
      </c>
    </row>
    <row r="48">
      <c r="A48">
        <f>A47+$B$1</f>
        <v/>
      </c>
      <c r="B48">
        <f>IF((A48^3+a*A48+b)&lt;-1e-06,NA(),SQRT(MAX(0,(A48^3+a*A48+b))))</f>
        <v/>
      </c>
      <c r="C48">
        <f>IF((A48^3+a*A48+b)&lt;-1e-06,NA(),-SQRT(MAX(0,(A48^3+a*A48+b))))</f>
        <v/>
      </c>
    </row>
    <row r="49">
      <c r="A49">
        <f>A48+$B$1</f>
        <v/>
      </c>
      <c r="B49">
        <f>IF((A49^3+a*A49+b)&lt;-1e-06,NA(),SQRT(MAX(0,(A49^3+a*A49+b))))</f>
        <v/>
      </c>
      <c r="C49">
        <f>IF((A49^3+a*A49+b)&lt;-1e-06,NA(),-SQRT(MAX(0,(A49^3+a*A49+b))))</f>
        <v/>
      </c>
    </row>
    <row r="50">
      <c r="A50">
        <f>A49+$B$1</f>
        <v/>
      </c>
      <c r="B50">
        <f>IF((A50^3+a*A50+b)&lt;-1e-06,NA(),SQRT(MAX(0,(A50^3+a*A50+b))))</f>
        <v/>
      </c>
      <c r="C50">
        <f>IF((A50^3+a*A50+b)&lt;-1e-06,NA(),-SQRT(MAX(0,(A50^3+a*A50+b))))</f>
        <v/>
      </c>
    </row>
    <row r="51">
      <c r="A51">
        <f>A50+$B$1</f>
        <v/>
      </c>
      <c r="B51">
        <f>IF((A51^3+a*A51+b)&lt;-1e-06,NA(),SQRT(MAX(0,(A51^3+a*A51+b))))</f>
        <v/>
      </c>
      <c r="C51">
        <f>IF((A51^3+a*A51+b)&lt;-1e-06,NA(),-SQRT(MAX(0,(A51^3+a*A51+b))))</f>
        <v/>
      </c>
    </row>
    <row r="52">
      <c r="A52">
        <f>A51+$B$1</f>
        <v/>
      </c>
      <c r="B52">
        <f>IF((A52^3+a*A52+b)&lt;-1e-06,NA(),SQRT(MAX(0,(A52^3+a*A52+b))))</f>
        <v/>
      </c>
      <c r="C52">
        <f>IF((A52^3+a*A52+b)&lt;-1e-06,NA(),-SQRT(MAX(0,(A52^3+a*A52+b))))</f>
        <v/>
      </c>
    </row>
    <row r="53">
      <c r="A53">
        <f>A52+$B$1</f>
        <v/>
      </c>
      <c r="B53">
        <f>IF((A53^3+a*A53+b)&lt;-1e-06,NA(),SQRT(MAX(0,(A53^3+a*A53+b))))</f>
        <v/>
      </c>
      <c r="C53">
        <f>IF((A53^3+a*A53+b)&lt;-1e-06,NA(),-SQRT(MAX(0,(A53^3+a*A53+b))))</f>
        <v/>
      </c>
    </row>
    <row r="54">
      <c r="A54">
        <f>A53+$B$1</f>
        <v/>
      </c>
      <c r="B54">
        <f>IF((A54^3+a*A54+b)&lt;-1e-06,NA(),SQRT(MAX(0,(A54^3+a*A54+b))))</f>
        <v/>
      </c>
      <c r="C54">
        <f>IF((A54^3+a*A54+b)&lt;-1e-06,NA(),-SQRT(MAX(0,(A54^3+a*A54+b))))</f>
        <v/>
      </c>
    </row>
    <row r="55">
      <c r="A55">
        <f>A54+$B$1</f>
        <v/>
      </c>
      <c r="B55">
        <f>IF((A55^3+a*A55+b)&lt;-1e-06,NA(),SQRT(MAX(0,(A55^3+a*A55+b))))</f>
        <v/>
      </c>
      <c r="C55">
        <f>IF((A55^3+a*A55+b)&lt;-1e-06,NA(),-SQRT(MAX(0,(A55^3+a*A55+b))))</f>
        <v/>
      </c>
    </row>
    <row r="56">
      <c r="A56">
        <f>A55+$B$1</f>
        <v/>
      </c>
      <c r="B56">
        <f>IF((A56^3+a*A56+b)&lt;-1e-06,NA(),SQRT(MAX(0,(A56^3+a*A56+b))))</f>
        <v/>
      </c>
      <c r="C56">
        <f>IF((A56^3+a*A56+b)&lt;-1e-06,NA(),-SQRT(MAX(0,(A56^3+a*A56+b))))</f>
        <v/>
      </c>
    </row>
    <row r="57">
      <c r="A57">
        <f>A56+$B$1</f>
        <v/>
      </c>
      <c r="B57">
        <f>IF((A57^3+a*A57+b)&lt;-1e-06,NA(),SQRT(MAX(0,(A57^3+a*A57+b))))</f>
        <v/>
      </c>
      <c r="C57">
        <f>IF((A57^3+a*A57+b)&lt;-1e-06,NA(),-SQRT(MAX(0,(A57^3+a*A57+b))))</f>
        <v/>
      </c>
    </row>
    <row r="58">
      <c r="A58">
        <f>A57+$B$1</f>
        <v/>
      </c>
      <c r="B58">
        <f>IF((A58^3+a*A58+b)&lt;-1e-06,NA(),SQRT(MAX(0,(A58^3+a*A58+b))))</f>
        <v/>
      </c>
      <c r="C58">
        <f>IF((A58^3+a*A58+b)&lt;-1e-06,NA(),-SQRT(MAX(0,(A58^3+a*A58+b))))</f>
        <v/>
      </c>
    </row>
    <row r="59">
      <c r="A59">
        <f>A58+$B$1</f>
        <v/>
      </c>
      <c r="B59">
        <f>IF((A59^3+a*A59+b)&lt;-1e-06,NA(),SQRT(MAX(0,(A59^3+a*A59+b))))</f>
        <v/>
      </c>
      <c r="C59">
        <f>IF((A59^3+a*A59+b)&lt;-1e-06,NA(),-SQRT(MAX(0,(A59^3+a*A59+b))))</f>
        <v/>
      </c>
    </row>
    <row r="60">
      <c r="A60">
        <f>A59+$B$1</f>
        <v/>
      </c>
      <c r="B60">
        <f>IF((A60^3+a*A60+b)&lt;-1e-06,NA(),SQRT(MAX(0,(A60^3+a*A60+b))))</f>
        <v/>
      </c>
      <c r="C60">
        <f>IF((A60^3+a*A60+b)&lt;-1e-06,NA(),-SQRT(MAX(0,(A60^3+a*A60+b))))</f>
        <v/>
      </c>
    </row>
    <row r="61">
      <c r="A61">
        <f>A60+$B$1</f>
        <v/>
      </c>
      <c r="B61">
        <f>IF((A61^3+a*A61+b)&lt;-1e-06,NA(),SQRT(MAX(0,(A61^3+a*A61+b))))</f>
        <v/>
      </c>
      <c r="C61">
        <f>IF((A61^3+a*A61+b)&lt;-1e-06,NA(),-SQRT(MAX(0,(A61^3+a*A61+b))))</f>
        <v/>
      </c>
    </row>
    <row r="62">
      <c r="A62">
        <f>A61+$B$1</f>
        <v/>
      </c>
      <c r="B62">
        <f>IF((A62^3+a*A62+b)&lt;-1e-06,NA(),SQRT(MAX(0,(A62^3+a*A62+b))))</f>
        <v/>
      </c>
      <c r="C62">
        <f>IF((A62^3+a*A62+b)&lt;-1e-06,NA(),-SQRT(MAX(0,(A62^3+a*A62+b))))</f>
        <v/>
      </c>
    </row>
    <row r="63">
      <c r="A63">
        <f>A62+$B$1</f>
        <v/>
      </c>
      <c r="B63">
        <f>IF((A63^3+a*A63+b)&lt;-1e-06,NA(),SQRT(MAX(0,(A63^3+a*A63+b))))</f>
        <v/>
      </c>
      <c r="C63">
        <f>IF((A63^3+a*A63+b)&lt;-1e-06,NA(),-SQRT(MAX(0,(A63^3+a*A63+b))))</f>
        <v/>
      </c>
    </row>
    <row r="64">
      <c r="A64">
        <f>A63+$B$1</f>
        <v/>
      </c>
      <c r="B64">
        <f>IF((A64^3+a*A64+b)&lt;-1e-06,NA(),SQRT(MAX(0,(A64^3+a*A64+b))))</f>
        <v/>
      </c>
      <c r="C64">
        <f>IF((A64^3+a*A64+b)&lt;-1e-06,NA(),-SQRT(MAX(0,(A64^3+a*A64+b))))</f>
        <v/>
      </c>
    </row>
    <row r="65">
      <c r="A65">
        <f>A64+$B$1</f>
        <v/>
      </c>
      <c r="B65">
        <f>IF((A65^3+a*A65+b)&lt;-1e-06,NA(),SQRT(MAX(0,(A65^3+a*A65+b))))</f>
        <v/>
      </c>
      <c r="C65">
        <f>IF((A65^3+a*A65+b)&lt;-1e-06,NA(),-SQRT(MAX(0,(A65^3+a*A65+b))))</f>
        <v/>
      </c>
    </row>
    <row r="66">
      <c r="A66">
        <f>A65+$B$1</f>
        <v/>
      </c>
      <c r="B66">
        <f>IF((A66^3+a*A66+b)&lt;-1e-06,NA(),SQRT(MAX(0,(A66^3+a*A66+b))))</f>
        <v/>
      </c>
      <c r="C66">
        <f>IF((A66^3+a*A66+b)&lt;-1e-06,NA(),-SQRT(MAX(0,(A66^3+a*A66+b))))</f>
        <v/>
      </c>
    </row>
    <row r="67">
      <c r="A67">
        <f>A66+$B$1</f>
        <v/>
      </c>
      <c r="B67">
        <f>IF((A67^3+a*A67+b)&lt;-1e-06,NA(),SQRT(MAX(0,(A67^3+a*A67+b))))</f>
        <v/>
      </c>
      <c r="C67">
        <f>IF((A67^3+a*A67+b)&lt;-1e-06,NA(),-SQRT(MAX(0,(A67^3+a*A67+b))))</f>
        <v/>
      </c>
    </row>
    <row r="68">
      <c r="A68">
        <f>A67+$B$1</f>
        <v/>
      </c>
      <c r="B68">
        <f>IF((A68^3+a*A68+b)&lt;-1e-06,NA(),SQRT(MAX(0,(A68^3+a*A68+b))))</f>
        <v/>
      </c>
      <c r="C68">
        <f>IF((A68^3+a*A68+b)&lt;-1e-06,NA(),-SQRT(MAX(0,(A68^3+a*A68+b))))</f>
        <v/>
      </c>
    </row>
    <row r="69">
      <c r="A69">
        <f>A68+$B$1</f>
        <v/>
      </c>
      <c r="B69">
        <f>IF((A69^3+a*A69+b)&lt;-1e-06,NA(),SQRT(MAX(0,(A69^3+a*A69+b))))</f>
        <v/>
      </c>
      <c r="C69">
        <f>IF((A69^3+a*A69+b)&lt;-1e-06,NA(),-SQRT(MAX(0,(A69^3+a*A69+b))))</f>
        <v/>
      </c>
    </row>
    <row r="70">
      <c r="A70">
        <f>A69+$B$1</f>
        <v/>
      </c>
      <c r="B70">
        <f>IF((A70^3+a*A70+b)&lt;-1e-06,NA(),SQRT(MAX(0,(A70^3+a*A70+b))))</f>
        <v/>
      </c>
      <c r="C70">
        <f>IF((A70^3+a*A70+b)&lt;-1e-06,NA(),-SQRT(MAX(0,(A70^3+a*A70+b))))</f>
        <v/>
      </c>
    </row>
    <row r="71">
      <c r="A71">
        <f>A70+$B$1</f>
        <v/>
      </c>
      <c r="B71">
        <f>IF((A71^3+a*A71+b)&lt;-1e-06,NA(),SQRT(MAX(0,(A71^3+a*A71+b))))</f>
        <v/>
      </c>
      <c r="C71">
        <f>IF((A71^3+a*A71+b)&lt;-1e-06,NA(),-SQRT(MAX(0,(A71^3+a*A71+b))))</f>
        <v/>
      </c>
    </row>
    <row r="72">
      <c r="A72">
        <f>A71+$B$1</f>
        <v/>
      </c>
      <c r="B72">
        <f>IF((A72^3+a*A72+b)&lt;-1e-06,NA(),SQRT(MAX(0,(A72^3+a*A72+b))))</f>
        <v/>
      </c>
      <c r="C72">
        <f>IF((A72^3+a*A72+b)&lt;-1e-06,NA(),-SQRT(MAX(0,(A72^3+a*A72+b))))</f>
        <v/>
      </c>
    </row>
    <row r="73">
      <c r="A73">
        <f>A72+$B$1</f>
        <v/>
      </c>
      <c r="B73">
        <f>IF((A73^3+a*A73+b)&lt;-1e-06,NA(),SQRT(MAX(0,(A73^3+a*A73+b))))</f>
        <v/>
      </c>
      <c r="C73">
        <f>IF((A73^3+a*A73+b)&lt;-1e-06,NA(),-SQRT(MAX(0,(A73^3+a*A73+b))))</f>
        <v/>
      </c>
    </row>
    <row r="74">
      <c r="A74">
        <f>A73+$B$1</f>
        <v/>
      </c>
      <c r="B74">
        <f>IF((A74^3+a*A74+b)&lt;-1e-06,NA(),SQRT(MAX(0,(A74^3+a*A74+b))))</f>
        <v/>
      </c>
      <c r="C74">
        <f>IF((A74^3+a*A74+b)&lt;-1e-06,NA(),-SQRT(MAX(0,(A74^3+a*A74+b))))</f>
        <v/>
      </c>
    </row>
    <row r="75">
      <c r="A75">
        <f>A74+$B$1</f>
        <v/>
      </c>
      <c r="B75">
        <f>IF((A75^3+a*A75+b)&lt;-1e-06,NA(),SQRT(MAX(0,(A75^3+a*A75+b))))</f>
        <v/>
      </c>
      <c r="C75">
        <f>IF((A75^3+a*A75+b)&lt;-1e-06,NA(),-SQRT(MAX(0,(A75^3+a*A75+b))))</f>
        <v/>
      </c>
    </row>
    <row r="76">
      <c r="A76">
        <f>A75+$B$1</f>
        <v/>
      </c>
      <c r="B76">
        <f>IF((A76^3+a*A76+b)&lt;-1e-06,NA(),SQRT(MAX(0,(A76^3+a*A76+b))))</f>
        <v/>
      </c>
      <c r="C76">
        <f>IF((A76^3+a*A76+b)&lt;-1e-06,NA(),-SQRT(MAX(0,(A76^3+a*A76+b))))</f>
        <v/>
      </c>
    </row>
    <row r="77">
      <c r="A77">
        <f>A76+$B$1</f>
        <v/>
      </c>
      <c r="B77">
        <f>IF((A77^3+a*A77+b)&lt;-1e-06,NA(),SQRT(MAX(0,(A77^3+a*A77+b))))</f>
        <v/>
      </c>
      <c r="C77">
        <f>IF((A77^3+a*A77+b)&lt;-1e-06,NA(),-SQRT(MAX(0,(A77^3+a*A77+b))))</f>
        <v/>
      </c>
    </row>
    <row r="78">
      <c r="A78">
        <f>A77+$B$1</f>
        <v/>
      </c>
      <c r="B78">
        <f>IF((A78^3+a*A78+b)&lt;-1e-06,NA(),SQRT(MAX(0,(A78^3+a*A78+b))))</f>
        <v/>
      </c>
      <c r="C78">
        <f>IF((A78^3+a*A78+b)&lt;-1e-06,NA(),-SQRT(MAX(0,(A78^3+a*A78+b))))</f>
        <v/>
      </c>
    </row>
    <row r="79">
      <c r="A79">
        <f>A78+$B$1</f>
        <v/>
      </c>
      <c r="B79">
        <f>IF((A79^3+a*A79+b)&lt;-1e-06,NA(),SQRT(MAX(0,(A79^3+a*A79+b))))</f>
        <v/>
      </c>
      <c r="C79">
        <f>IF((A79^3+a*A79+b)&lt;-1e-06,NA(),-SQRT(MAX(0,(A79^3+a*A79+b))))</f>
        <v/>
      </c>
    </row>
    <row r="80">
      <c r="A80">
        <f>A79+$B$1</f>
        <v/>
      </c>
      <c r="B80">
        <f>IF((A80^3+a*A80+b)&lt;-1e-06,NA(),SQRT(MAX(0,(A80^3+a*A80+b))))</f>
        <v/>
      </c>
      <c r="C80">
        <f>IF((A80^3+a*A80+b)&lt;-1e-06,NA(),-SQRT(MAX(0,(A80^3+a*A80+b))))</f>
        <v/>
      </c>
    </row>
    <row r="81">
      <c r="A81">
        <f>A80+$B$1</f>
        <v/>
      </c>
      <c r="B81">
        <f>IF((A81^3+a*A81+b)&lt;-1e-06,NA(),SQRT(MAX(0,(A81^3+a*A81+b))))</f>
        <v/>
      </c>
      <c r="C81">
        <f>IF((A81^3+a*A81+b)&lt;-1e-06,NA(),-SQRT(MAX(0,(A81^3+a*A81+b))))</f>
        <v/>
      </c>
    </row>
    <row r="82">
      <c r="A82">
        <f>A81+$B$1</f>
        <v/>
      </c>
      <c r="B82">
        <f>IF((A82^3+a*A82+b)&lt;-1e-06,NA(),SQRT(MAX(0,(A82^3+a*A82+b))))</f>
        <v/>
      </c>
      <c r="C82">
        <f>IF((A82^3+a*A82+b)&lt;-1e-06,NA(),-SQRT(MAX(0,(A82^3+a*A82+b))))</f>
        <v/>
      </c>
    </row>
    <row r="83">
      <c r="A83">
        <f>A82+$B$1</f>
        <v/>
      </c>
      <c r="B83">
        <f>IF((A83^3+a*A83+b)&lt;-1e-06,NA(),SQRT(MAX(0,(A83^3+a*A83+b))))</f>
        <v/>
      </c>
      <c r="C83">
        <f>IF((A83^3+a*A83+b)&lt;-1e-06,NA(),-SQRT(MAX(0,(A83^3+a*A83+b))))</f>
        <v/>
      </c>
    </row>
    <row r="84">
      <c r="A84">
        <f>A83+$B$1</f>
        <v/>
      </c>
      <c r="B84">
        <f>IF((A84^3+a*A84+b)&lt;-1e-06,NA(),SQRT(MAX(0,(A84^3+a*A84+b))))</f>
        <v/>
      </c>
      <c r="C84">
        <f>IF((A84^3+a*A84+b)&lt;-1e-06,NA(),-SQRT(MAX(0,(A84^3+a*A84+b))))</f>
        <v/>
      </c>
    </row>
    <row r="85">
      <c r="A85">
        <f>A84+$B$1</f>
        <v/>
      </c>
      <c r="B85">
        <f>IF((A85^3+a*A85+b)&lt;-1e-06,NA(),SQRT(MAX(0,(A85^3+a*A85+b))))</f>
        <v/>
      </c>
      <c r="C85">
        <f>IF((A85^3+a*A85+b)&lt;-1e-06,NA(),-SQRT(MAX(0,(A85^3+a*A85+b))))</f>
        <v/>
      </c>
    </row>
    <row r="86">
      <c r="A86">
        <f>A85+$B$1</f>
        <v/>
      </c>
      <c r="B86">
        <f>IF((A86^3+a*A86+b)&lt;-1e-06,NA(),SQRT(MAX(0,(A86^3+a*A86+b))))</f>
        <v/>
      </c>
      <c r="C86">
        <f>IF((A86^3+a*A86+b)&lt;-1e-06,NA(),-SQRT(MAX(0,(A86^3+a*A86+b))))</f>
        <v/>
      </c>
    </row>
    <row r="87">
      <c r="A87">
        <f>A86+$B$1</f>
        <v/>
      </c>
      <c r="B87">
        <f>IF((A87^3+a*A87+b)&lt;-1e-06,NA(),SQRT(MAX(0,(A87^3+a*A87+b))))</f>
        <v/>
      </c>
      <c r="C87">
        <f>IF((A87^3+a*A87+b)&lt;-1e-06,NA(),-SQRT(MAX(0,(A87^3+a*A87+b))))</f>
        <v/>
      </c>
    </row>
    <row r="88">
      <c r="A88">
        <f>A87+$B$1</f>
        <v/>
      </c>
      <c r="B88">
        <f>IF((A88^3+a*A88+b)&lt;-1e-06,NA(),SQRT(MAX(0,(A88^3+a*A88+b))))</f>
        <v/>
      </c>
      <c r="C88">
        <f>IF((A88^3+a*A88+b)&lt;-1e-06,NA(),-SQRT(MAX(0,(A88^3+a*A88+b))))</f>
        <v/>
      </c>
    </row>
    <row r="89">
      <c r="A89">
        <f>A88+$B$1</f>
        <v/>
      </c>
      <c r="B89">
        <f>IF((A89^3+a*A89+b)&lt;-1e-06,NA(),SQRT(MAX(0,(A89^3+a*A89+b))))</f>
        <v/>
      </c>
      <c r="C89">
        <f>IF((A89^3+a*A89+b)&lt;-1e-06,NA(),-SQRT(MAX(0,(A89^3+a*A89+b))))</f>
        <v/>
      </c>
    </row>
    <row r="90">
      <c r="A90">
        <f>A89+$B$1</f>
        <v/>
      </c>
      <c r="B90">
        <f>IF((A90^3+a*A90+b)&lt;-1e-06,NA(),SQRT(MAX(0,(A90^3+a*A90+b))))</f>
        <v/>
      </c>
      <c r="C90">
        <f>IF((A90^3+a*A90+b)&lt;-1e-06,NA(),-SQRT(MAX(0,(A90^3+a*A90+b))))</f>
        <v/>
      </c>
    </row>
    <row r="91">
      <c r="A91">
        <f>A90+$B$1</f>
        <v/>
      </c>
      <c r="B91">
        <f>IF((A91^3+a*A91+b)&lt;-1e-06,NA(),SQRT(MAX(0,(A91^3+a*A91+b))))</f>
        <v/>
      </c>
      <c r="C91">
        <f>IF((A91^3+a*A91+b)&lt;-1e-06,NA(),-SQRT(MAX(0,(A91^3+a*A91+b))))</f>
        <v/>
      </c>
    </row>
    <row r="92">
      <c r="A92">
        <f>A91+$B$1</f>
        <v/>
      </c>
      <c r="B92">
        <f>IF((A92^3+a*A92+b)&lt;-1e-06,NA(),SQRT(MAX(0,(A92^3+a*A92+b))))</f>
        <v/>
      </c>
      <c r="C92">
        <f>IF((A92^3+a*A92+b)&lt;-1e-06,NA(),-SQRT(MAX(0,(A92^3+a*A92+b))))</f>
        <v/>
      </c>
    </row>
    <row r="93">
      <c r="A93">
        <f>A92+$B$1</f>
        <v/>
      </c>
      <c r="B93">
        <f>IF((A93^3+a*A93+b)&lt;-1e-06,NA(),SQRT(MAX(0,(A93^3+a*A93+b))))</f>
        <v/>
      </c>
      <c r="C93">
        <f>IF((A93^3+a*A93+b)&lt;-1e-06,NA(),-SQRT(MAX(0,(A93^3+a*A93+b))))</f>
        <v/>
      </c>
    </row>
    <row r="94">
      <c r="A94">
        <f>A93+$B$1</f>
        <v/>
      </c>
      <c r="B94">
        <f>IF((A94^3+a*A94+b)&lt;-1e-06,NA(),SQRT(MAX(0,(A94^3+a*A94+b))))</f>
        <v/>
      </c>
      <c r="C94">
        <f>IF((A94^3+a*A94+b)&lt;-1e-06,NA(),-SQRT(MAX(0,(A94^3+a*A94+b))))</f>
        <v/>
      </c>
    </row>
    <row r="95">
      <c r="A95">
        <f>A94+$B$1</f>
        <v/>
      </c>
      <c r="B95">
        <f>IF((A95^3+a*A95+b)&lt;-1e-06,NA(),SQRT(MAX(0,(A95^3+a*A95+b))))</f>
        <v/>
      </c>
      <c r="C95">
        <f>IF((A95^3+a*A95+b)&lt;-1e-06,NA(),-SQRT(MAX(0,(A95^3+a*A95+b))))</f>
        <v/>
      </c>
    </row>
    <row r="96">
      <c r="A96">
        <f>A95+$B$1</f>
        <v/>
      </c>
      <c r="B96">
        <f>IF((A96^3+a*A96+b)&lt;-1e-06,NA(),SQRT(MAX(0,(A96^3+a*A96+b))))</f>
        <v/>
      </c>
      <c r="C96">
        <f>IF((A96^3+a*A96+b)&lt;-1e-06,NA(),-SQRT(MAX(0,(A96^3+a*A96+b))))</f>
        <v/>
      </c>
    </row>
    <row r="97">
      <c r="A97">
        <f>A96+$B$1</f>
        <v/>
      </c>
      <c r="B97">
        <f>IF((A97^3+a*A97+b)&lt;-1e-06,NA(),SQRT(MAX(0,(A97^3+a*A97+b))))</f>
        <v/>
      </c>
      <c r="C97">
        <f>IF((A97^3+a*A97+b)&lt;-1e-06,NA(),-SQRT(MAX(0,(A97^3+a*A97+b))))</f>
        <v/>
      </c>
    </row>
    <row r="98">
      <c r="A98">
        <f>A97+$B$1</f>
        <v/>
      </c>
      <c r="B98">
        <f>IF((A98^3+a*A98+b)&lt;-1e-06,NA(),SQRT(MAX(0,(A98^3+a*A98+b))))</f>
        <v/>
      </c>
      <c r="C98">
        <f>IF((A98^3+a*A98+b)&lt;-1e-06,NA(),-SQRT(MAX(0,(A98^3+a*A98+b))))</f>
        <v/>
      </c>
    </row>
    <row r="99">
      <c r="A99">
        <f>A98+$B$1</f>
        <v/>
      </c>
      <c r="B99">
        <f>IF((A99^3+a*A99+b)&lt;-1e-06,NA(),SQRT(MAX(0,(A99^3+a*A99+b))))</f>
        <v/>
      </c>
      <c r="C99">
        <f>IF((A99^3+a*A99+b)&lt;-1e-06,NA(),-SQRT(MAX(0,(A99^3+a*A99+b))))</f>
        <v/>
      </c>
    </row>
    <row r="100">
      <c r="A100">
        <f>A99+$B$1</f>
        <v/>
      </c>
      <c r="B100">
        <f>IF((A100^3+a*A100+b)&lt;-1e-06,NA(),SQRT(MAX(0,(A100^3+a*A100+b))))</f>
        <v/>
      </c>
      <c r="C100">
        <f>IF((A100^3+a*A100+b)&lt;-1e-06,NA(),-SQRT(MAX(0,(A100^3+a*A100+b))))</f>
        <v/>
      </c>
    </row>
    <row r="101">
      <c r="A101">
        <f>A100+$B$1</f>
        <v/>
      </c>
      <c r="B101">
        <f>IF((A101^3+a*A101+b)&lt;-1e-06,NA(),SQRT(MAX(0,(A101^3+a*A101+b))))</f>
        <v/>
      </c>
      <c r="C101">
        <f>IF((A101^3+a*A101+b)&lt;-1e-06,NA(),-SQRT(MAX(0,(A101^3+a*A101+b))))</f>
        <v/>
      </c>
    </row>
    <row r="102">
      <c r="A102">
        <f>A101+$B$1</f>
        <v/>
      </c>
      <c r="B102">
        <f>IF((A102^3+a*A102+b)&lt;-1e-06,NA(),SQRT(MAX(0,(A102^3+a*A102+b))))</f>
        <v/>
      </c>
      <c r="C102">
        <f>IF((A102^3+a*A102+b)&lt;-1e-06,NA(),-SQRT(MAX(0,(A102^3+a*A102+b))))</f>
        <v/>
      </c>
    </row>
    <row r="103">
      <c r="A103">
        <f>A102+$B$1</f>
        <v/>
      </c>
      <c r="B103">
        <f>IF((A103^3+a*A103+b)&lt;-1e-06,NA(),SQRT(MAX(0,(A103^3+a*A103+b))))</f>
        <v/>
      </c>
      <c r="C103">
        <f>IF((A103^3+a*A103+b)&lt;-1e-06,NA(),-SQRT(MAX(0,(A103^3+a*A103+b))))</f>
        <v/>
      </c>
    </row>
    <row r="104">
      <c r="A104">
        <f>A103+$B$1</f>
        <v/>
      </c>
      <c r="B104">
        <f>IF((A104^3+a*A104+b)&lt;-1e-06,NA(),SQRT(MAX(0,(A104^3+a*A104+b))))</f>
        <v/>
      </c>
      <c r="C104">
        <f>IF((A104^3+a*A104+b)&lt;-1e-06,NA(),-SQRT(MAX(0,(A104^3+a*A104+b))))</f>
        <v/>
      </c>
    </row>
    <row r="105">
      <c r="A105">
        <f>A104+$B$1</f>
        <v/>
      </c>
      <c r="B105">
        <f>IF((A105^3+a*A105+b)&lt;-1e-06,NA(),SQRT(MAX(0,(A105^3+a*A105+b))))</f>
        <v/>
      </c>
      <c r="C105">
        <f>IF((A105^3+a*A105+b)&lt;-1e-06,NA(),-SQRT(MAX(0,(A105^3+a*A105+b))))</f>
        <v/>
      </c>
    </row>
    <row r="106">
      <c r="A106">
        <f>A105+$B$1</f>
        <v/>
      </c>
      <c r="B106">
        <f>IF((A106^3+a*A106+b)&lt;-1e-06,NA(),SQRT(MAX(0,(A106^3+a*A106+b))))</f>
        <v/>
      </c>
      <c r="C106">
        <f>IF((A106^3+a*A106+b)&lt;-1e-06,NA(),-SQRT(MAX(0,(A106^3+a*A106+b))))</f>
        <v/>
      </c>
    </row>
    <row r="107">
      <c r="A107">
        <f>A106+$B$1</f>
        <v/>
      </c>
      <c r="B107">
        <f>IF((A107^3+a*A107+b)&lt;-1e-06,NA(),SQRT(MAX(0,(A107^3+a*A107+b))))</f>
        <v/>
      </c>
      <c r="C107">
        <f>IF((A107^3+a*A107+b)&lt;-1e-06,NA(),-SQRT(MAX(0,(A107^3+a*A107+b))))</f>
        <v/>
      </c>
    </row>
    <row r="108">
      <c r="A108">
        <f>A107+$B$1</f>
        <v/>
      </c>
      <c r="B108">
        <f>IF((A108^3+a*A108+b)&lt;-1e-06,NA(),SQRT(MAX(0,(A108^3+a*A108+b))))</f>
        <v/>
      </c>
      <c r="C108">
        <f>IF((A108^3+a*A108+b)&lt;-1e-06,NA(),-SQRT(MAX(0,(A108^3+a*A108+b))))</f>
        <v/>
      </c>
    </row>
    <row r="109">
      <c r="A109">
        <f>A108+$B$1</f>
        <v/>
      </c>
      <c r="B109">
        <f>IF((A109^3+a*A109+b)&lt;-1e-06,NA(),SQRT(MAX(0,(A109^3+a*A109+b))))</f>
        <v/>
      </c>
      <c r="C109">
        <f>IF((A109^3+a*A109+b)&lt;-1e-06,NA(),-SQRT(MAX(0,(A109^3+a*A109+b))))</f>
        <v/>
      </c>
    </row>
    <row r="110">
      <c r="A110">
        <f>A109+$B$1</f>
        <v/>
      </c>
      <c r="B110">
        <f>IF((A110^3+a*A110+b)&lt;-1e-06,NA(),SQRT(MAX(0,(A110^3+a*A110+b))))</f>
        <v/>
      </c>
      <c r="C110">
        <f>IF((A110^3+a*A110+b)&lt;-1e-06,NA(),-SQRT(MAX(0,(A110^3+a*A110+b))))</f>
        <v/>
      </c>
    </row>
    <row r="111">
      <c r="A111">
        <f>A110+$B$1</f>
        <v/>
      </c>
      <c r="B111">
        <f>IF((A111^3+a*A111+b)&lt;-1e-06,NA(),SQRT(MAX(0,(A111^3+a*A111+b))))</f>
        <v/>
      </c>
      <c r="C111">
        <f>IF((A111^3+a*A111+b)&lt;-1e-06,NA(),-SQRT(MAX(0,(A111^3+a*A111+b))))</f>
        <v/>
      </c>
    </row>
    <row r="112">
      <c r="A112">
        <f>A111+$B$1</f>
        <v/>
      </c>
      <c r="B112">
        <f>IF((A112^3+a*A112+b)&lt;-1e-06,NA(),SQRT(MAX(0,(A112^3+a*A112+b))))</f>
        <v/>
      </c>
      <c r="C112">
        <f>IF((A112^3+a*A112+b)&lt;-1e-06,NA(),-SQRT(MAX(0,(A112^3+a*A112+b))))</f>
        <v/>
      </c>
    </row>
    <row r="113">
      <c r="A113">
        <f>A112+$B$1</f>
        <v/>
      </c>
      <c r="B113">
        <f>IF((A113^3+a*A113+b)&lt;-1e-06,NA(),SQRT(MAX(0,(A113^3+a*A113+b))))</f>
        <v/>
      </c>
      <c r="C113">
        <f>IF((A113^3+a*A113+b)&lt;-1e-06,NA(),-SQRT(MAX(0,(A113^3+a*A113+b))))</f>
        <v/>
      </c>
    </row>
    <row r="114">
      <c r="A114">
        <f>A113+$B$1</f>
        <v/>
      </c>
      <c r="B114">
        <f>IF((A114^3+a*A114+b)&lt;-1e-06,NA(),SQRT(MAX(0,(A114^3+a*A114+b))))</f>
        <v/>
      </c>
      <c r="C114">
        <f>IF((A114^3+a*A114+b)&lt;-1e-06,NA(),-SQRT(MAX(0,(A114^3+a*A114+b))))</f>
        <v/>
      </c>
    </row>
    <row r="115">
      <c r="A115">
        <f>A114+$B$1</f>
        <v/>
      </c>
      <c r="B115">
        <f>IF((A115^3+a*A115+b)&lt;-1e-06,NA(),SQRT(MAX(0,(A115^3+a*A115+b))))</f>
        <v/>
      </c>
      <c r="C115">
        <f>IF((A115^3+a*A115+b)&lt;-1e-06,NA(),-SQRT(MAX(0,(A115^3+a*A115+b))))</f>
        <v/>
      </c>
    </row>
    <row r="116">
      <c r="A116">
        <f>A115+$B$1</f>
        <v/>
      </c>
      <c r="B116">
        <f>IF((A116^3+a*A116+b)&lt;-1e-06,NA(),SQRT(MAX(0,(A116^3+a*A116+b))))</f>
        <v/>
      </c>
      <c r="C116">
        <f>IF((A116^3+a*A116+b)&lt;-1e-06,NA(),-SQRT(MAX(0,(A116^3+a*A116+b))))</f>
        <v/>
      </c>
    </row>
    <row r="117">
      <c r="A117">
        <f>A116+$B$1</f>
        <v/>
      </c>
      <c r="B117">
        <f>IF((A117^3+a*A117+b)&lt;-1e-06,NA(),SQRT(MAX(0,(A117^3+a*A117+b))))</f>
        <v/>
      </c>
      <c r="C117">
        <f>IF((A117^3+a*A117+b)&lt;-1e-06,NA(),-SQRT(MAX(0,(A117^3+a*A117+b))))</f>
        <v/>
      </c>
    </row>
    <row r="118">
      <c r="A118">
        <f>A117+$B$1</f>
        <v/>
      </c>
      <c r="B118">
        <f>IF((A118^3+a*A118+b)&lt;-1e-06,NA(),SQRT(MAX(0,(A118^3+a*A118+b))))</f>
        <v/>
      </c>
      <c r="C118">
        <f>IF((A118^3+a*A118+b)&lt;-1e-06,NA(),-SQRT(MAX(0,(A118^3+a*A118+b))))</f>
        <v/>
      </c>
    </row>
    <row r="119">
      <c r="A119">
        <f>A118+$B$1</f>
        <v/>
      </c>
      <c r="B119">
        <f>IF((A119^3+a*A119+b)&lt;-1e-06,NA(),SQRT(MAX(0,(A119^3+a*A119+b))))</f>
        <v/>
      </c>
      <c r="C119">
        <f>IF((A119^3+a*A119+b)&lt;-1e-06,NA(),-SQRT(MAX(0,(A119^3+a*A119+b))))</f>
        <v/>
      </c>
    </row>
    <row r="120">
      <c r="A120">
        <f>A119+$B$1</f>
        <v/>
      </c>
      <c r="B120">
        <f>IF((A120^3+a*A120+b)&lt;-1e-06,NA(),SQRT(MAX(0,(A120^3+a*A120+b))))</f>
        <v/>
      </c>
      <c r="C120">
        <f>IF((A120^3+a*A120+b)&lt;-1e-06,NA(),-SQRT(MAX(0,(A120^3+a*A120+b))))</f>
        <v/>
      </c>
    </row>
    <row r="121">
      <c r="A121">
        <f>A120+$B$1</f>
        <v/>
      </c>
      <c r="B121">
        <f>IF((A121^3+a*A121+b)&lt;-1e-06,NA(),SQRT(MAX(0,(A121^3+a*A121+b))))</f>
        <v/>
      </c>
      <c r="C121">
        <f>IF((A121^3+a*A121+b)&lt;-1e-06,NA(),-SQRT(MAX(0,(A121^3+a*A121+b))))</f>
        <v/>
      </c>
    </row>
    <row r="122">
      <c r="A122">
        <f>A121+$B$1</f>
        <v/>
      </c>
      <c r="B122">
        <f>IF((A122^3+a*A122+b)&lt;-1e-06,NA(),SQRT(MAX(0,(A122^3+a*A122+b))))</f>
        <v/>
      </c>
      <c r="C122">
        <f>IF((A122^3+a*A122+b)&lt;-1e-06,NA(),-SQRT(MAX(0,(A122^3+a*A122+b))))</f>
        <v/>
      </c>
    </row>
    <row r="123">
      <c r="A123">
        <f>A122+$B$1</f>
        <v/>
      </c>
      <c r="B123">
        <f>IF((A123^3+a*A123+b)&lt;-1e-06,NA(),SQRT(MAX(0,(A123^3+a*A123+b))))</f>
        <v/>
      </c>
      <c r="C123">
        <f>IF((A123^3+a*A123+b)&lt;-1e-06,NA(),-SQRT(MAX(0,(A123^3+a*A123+b))))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7.5" customWidth="1" min="1" max="1"/>
    <col width="14.1640625" customWidth="1" min="2" max="2"/>
    <col width="5" customWidth="1" min="3" max="3"/>
    <col width="5" customWidth="1" min="4" max="4"/>
  </cols>
  <sheetData>
    <row r="1">
      <c r="A1" t="inlineStr">
        <is>
          <t>a</t>
        </is>
      </c>
      <c r="B1" t="n">
        <v>2</v>
      </c>
      <c r="F1" t="n">
        <v>0</v>
      </c>
      <c r="G1">
        <f>prime/2</f>
        <v/>
      </c>
    </row>
    <row r="2">
      <c r="A2" t="inlineStr">
        <is>
          <t>b</t>
        </is>
      </c>
      <c r="B2" t="n">
        <v>4</v>
      </c>
      <c r="F2">
        <f>prime-1</f>
        <v/>
      </c>
      <c r="G2">
        <f>prime/2</f>
        <v/>
      </c>
    </row>
    <row r="3">
      <c r="A3" t="inlineStr">
        <is>
          <t>prime</t>
        </is>
      </c>
      <c r="B3" t="n">
        <v>7</v>
      </c>
    </row>
    <row r="4">
      <c r="A4" t="inlineStr">
        <is>
          <t>cofactor</t>
        </is>
      </c>
      <c r="B4" t="n">
        <v>1</v>
      </c>
    </row>
    <row r="5">
      <c r="A5" t="inlineStr">
        <is>
          <t># points</t>
        </is>
      </c>
      <c r="B5">
        <f>COUNT(C8:C14)+COUNT(D8:D14)+1</f>
        <v/>
      </c>
    </row>
    <row r="7">
      <c r="A7" t="inlineStr">
        <is>
          <t>x</t>
        </is>
      </c>
      <c r="B7" t="inlineStr">
        <is>
          <t>x^3+a*x+b mod p</t>
        </is>
      </c>
      <c r="C7" t="inlineStr">
        <is>
          <t>y</t>
        </is>
      </c>
      <c r="D7" t="inlineStr">
        <is>
          <t>-y</t>
        </is>
      </c>
    </row>
    <row r="8">
      <c r="A8" t="n">
        <v>0</v>
      </c>
      <c r="B8">
        <f>MOD(A8^3+a*A8+b,prime)</f>
        <v/>
      </c>
      <c r="C8">
        <f>IF(MOD(B8,prime)=0,0,IF(SUMPRODUCT((MOD(ROW($A$1:$A$57)^2,prime)=MOD(B8,prime))*(ROW($A$1:$A$57)&lt;prime)*(MOD(ROW($A$1:$A$57),2)=1)*ROW($A$1:$A$57))=0,NA(),SUMPRODUCT((MOD(ROW($A$1:$A$57)^2,prime)=MOD(B8,prime))*(ROW($A$1:$A$57)&lt;prime)*(MOD(ROW($A$1:$A$57),2)=1)*ROW($A$1:$A$57))))</f>
        <v/>
      </c>
      <c r="D8">
        <f>IF(OR(NOT(ISNUMBER(C8)),C8=0),NA(),MOD(prime-C8,prime))</f>
        <v/>
      </c>
    </row>
    <row r="9">
      <c r="A9" t="n">
        <v>1</v>
      </c>
      <c r="B9">
        <f>MOD(A9^3+a*A9+b,prime)</f>
        <v/>
      </c>
      <c r="C9">
        <f>IF(MOD(B9,prime)=0,0,IF(SUMPRODUCT((MOD(ROW($A$1:$A$57)^2,prime)=MOD(B9,prime))*(ROW($A$1:$A$57)&lt;prime)*(MOD(ROW($A$1:$A$57),2)=1)*ROW($A$1:$A$57))=0,NA(),SUMPRODUCT((MOD(ROW($A$1:$A$57)^2,prime)=MOD(B9,prime))*(ROW($A$1:$A$57)&lt;prime)*(MOD(ROW($A$1:$A$57),2)=1)*ROW($A$1:$A$57))))</f>
        <v/>
      </c>
      <c r="D9">
        <f>IF(OR(NOT(ISNUMBER(C9)),C9=0),NA(),MOD(prime-C9,prime))</f>
        <v/>
      </c>
    </row>
    <row r="10">
      <c r="A10" t="n">
        <v>2</v>
      </c>
      <c r="B10">
        <f>MOD(A10^3+a*A10+b,prime)</f>
        <v/>
      </c>
      <c r="C10">
        <f>IF(MOD(B10,prime)=0,0,IF(SUMPRODUCT((MOD(ROW($A$1:$A$57)^2,prime)=MOD(B10,prime))*(ROW($A$1:$A$57)&lt;prime)*(MOD(ROW($A$1:$A$57),2)=1)*ROW($A$1:$A$57))=0,NA(),SUMPRODUCT((MOD(ROW($A$1:$A$57)^2,prime)=MOD(B10,prime))*(ROW($A$1:$A$57)&lt;prime)*(MOD(ROW($A$1:$A$57),2)=1)*ROW($A$1:$A$57))))</f>
        <v/>
      </c>
      <c r="D10">
        <f>IF(OR(NOT(ISNUMBER(C10)),C10=0),NA(),MOD(prime-C10,prime))</f>
        <v/>
      </c>
    </row>
    <row r="11">
      <c r="A11" t="n">
        <v>3</v>
      </c>
      <c r="B11">
        <f>MOD(A11^3+a*A11+b,prime)</f>
        <v/>
      </c>
      <c r="C11">
        <f>IF(MOD(B11,prime)=0,0,IF(SUMPRODUCT((MOD(ROW($A$1:$A$57)^2,prime)=MOD(B11,prime))*(ROW($A$1:$A$57)&lt;prime)*(MOD(ROW($A$1:$A$57),2)=1)*ROW($A$1:$A$57))=0,NA(),SUMPRODUCT((MOD(ROW($A$1:$A$57)^2,prime)=MOD(B11,prime))*(ROW($A$1:$A$57)&lt;prime)*(MOD(ROW($A$1:$A$57),2)=1)*ROW($A$1:$A$57))))</f>
        <v/>
      </c>
      <c r="D11">
        <f>IF(OR(NOT(ISNUMBER(C11)),C11=0),NA(),MOD(prime-C11,prime))</f>
        <v/>
      </c>
    </row>
    <row r="12">
      <c r="A12" t="n">
        <v>4</v>
      </c>
      <c r="B12">
        <f>MOD(A12^3+a*A12+b,prime)</f>
        <v/>
      </c>
      <c r="C12">
        <f>IF(MOD(B12,prime)=0,0,IF(SUMPRODUCT((MOD(ROW($A$1:$A$57)^2,prime)=MOD(B12,prime))*(ROW($A$1:$A$57)&lt;prime)*(MOD(ROW($A$1:$A$57),2)=1)*ROW($A$1:$A$57))=0,NA(),SUMPRODUCT((MOD(ROW($A$1:$A$57)^2,prime)=MOD(B12,prime))*(ROW($A$1:$A$57)&lt;prime)*(MOD(ROW($A$1:$A$57),2)=1)*ROW($A$1:$A$57))))</f>
        <v/>
      </c>
      <c r="D12">
        <f>IF(OR(NOT(ISNUMBER(C12)),C12=0),NA(),MOD(prime-C12,prime))</f>
        <v/>
      </c>
    </row>
    <row r="13">
      <c r="A13" t="n">
        <v>5</v>
      </c>
      <c r="B13">
        <f>MOD(A13^3+a*A13+b,prime)</f>
        <v/>
      </c>
      <c r="C13">
        <f>IF(MOD(B13,prime)=0,0,IF(SUMPRODUCT((MOD(ROW($A$1:$A$57)^2,prime)=MOD(B13,prime))*(ROW($A$1:$A$57)&lt;prime)*(MOD(ROW($A$1:$A$57),2)=1)*ROW($A$1:$A$57))=0,NA(),SUMPRODUCT((MOD(ROW($A$1:$A$57)^2,prime)=MOD(B13,prime))*(ROW($A$1:$A$57)&lt;prime)*(MOD(ROW($A$1:$A$57),2)=1)*ROW($A$1:$A$57))))</f>
        <v/>
      </c>
      <c r="D13">
        <f>IF(OR(NOT(ISNUMBER(C13)),C13=0),NA(),MOD(prime-C13,prime))</f>
        <v/>
      </c>
    </row>
    <row r="14">
      <c r="A14" t="n">
        <v>6</v>
      </c>
      <c r="B14">
        <f>MOD(A14^3+a*A14+b,prime)</f>
        <v/>
      </c>
      <c r="C14">
        <f>IF(MOD(B14,prime)=0,0,IF(SUMPRODUCT((MOD(ROW($A$1:$A$57)^2,prime)=MOD(B14,prime))*(ROW($A$1:$A$57)&lt;prime)*(MOD(ROW($A$1:$A$57),2)=1)*ROW($A$1:$A$57))=0,NA(),SUMPRODUCT((MOD(ROW($A$1:$A$57)^2,prime)=MOD(B14,prime))*(ROW($A$1:$A$57)&lt;prime)*(MOD(ROW($A$1:$A$57),2)=1)*ROW($A$1:$A$57))))</f>
        <v/>
      </c>
      <c r="D14">
        <f>IF(OR(NOT(ISNUMBER(C14)),C14=0),NA(),MOD(prime-C14,prime))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7.1640625" customWidth="1" min="1" max="1"/>
    <col width="4.1640625" customWidth="1" min="2" max="2"/>
    <col width="5" customWidth="1" min="3" max="3"/>
    <col width="9" customWidth="1" min="4" max="4"/>
    <col width="14.1640625" customWidth="1" min="5" max="5"/>
    <col width="5" customWidth="1" min="6" max="6"/>
    <col width="4.1640625" customWidth="1" min="7" max="7"/>
    <col width="3.1640625" customWidth="1" min="8" max="8"/>
    <col width="5" customWidth="1" min="9" max="9"/>
    <col width="5" customWidth="1" min="10" max="10"/>
  </cols>
  <sheetData>
    <row r="1">
      <c r="A1" t="inlineStr">
        <is>
          <t>Gx</t>
        </is>
      </c>
      <c r="B1" t="n">
        <v>0</v>
      </c>
      <c r="D1" t="n">
        <v>0</v>
      </c>
      <c r="E1">
        <f>prime/2</f>
        <v/>
      </c>
    </row>
    <row r="2">
      <c r="A2" t="inlineStr">
        <is>
          <t>Gy</t>
        </is>
      </c>
      <c r="B2" t="n">
        <v>2</v>
      </c>
      <c r="D2">
        <f>prime-1</f>
        <v/>
      </c>
      <c r="E2">
        <f>prime/2</f>
        <v/>
      </c>
    </row>
    <row r="3">
      <c r="A3" t="inlineStr">
        <is>
          <t># points</t>
        </is>
      </c>
      <c r="B3">
        <f>COUNT(B6:B15)+1</f>
        <v/>
      </c>
    </row>
    <row r="5">
      <c r="A5" t="inlineStr">
        <is>
          <t>k</t>
        </is>
      </c>
      <c r="B5" t="inlineStr">
        <is>
          <t>x</t>
        </is>
      </c>
      <c r="C5" t="inlineStr">
        <is>
          <t>y</t>
        </is>
      </c>
      <c r="D5" t="inlineStr">
        <is>
          <t>y^2 mod p</t>
        </is>
      </c>
      <c r="E5" t="inlineStr">
        <is>
          <t>x^3+a*x+b mod p</t>
        </is>
      </c>
    </row>
    <row r="6">
      <c r="A6" t="n">
        <v>1</v>
      </c>
      <c r="B6">
        <f>Gx</f>
        <v/>
      </c>
      <c r="C6">
        <f>Gy</f>
        <v/>
      </c>
      <c r="D6">
        <f>MOD(C6*C6,prime)</f>
        <v/>
      </c>
      <c r="E6">
        <f>MOD(B6^3+a*B6+b,prime)</f>
        <v/>
      </c>
      <c r="G6">
        <f>MOD(3*B6*B6+a,prime)</f>
        <v/>
      </c>
      <c r="H6">
        <f>MOD(2*C6,prime)</f>
        <v/>
      </c>
      <c r="I6">
        <f>IF(SUMPRODUCT((MOD(MOD(H6,prime)*ROW($A$1:$A$57),prime)=1)*(ROW($A$1:$A$57)&lt;prime)*ROW($A$1:$A$57))=0,NA(),SUMPRODUCT((MOD(MOD(H6,prime)*ROW($A$1:$A$57),prime)=1)*(ROW($A$1:$A$57)&lt;prime)*ROW($A$1:$A$57)))</f>
        <v/>
      </c>
      <c r="J6">
        <f>MOD(G6*I6,prime)</f>
        <v/>
      </c>
    </row>
    <row r="7">
      <c r="A7" t="n">
        <v>2</v>
      </c>
      <c r="B7">
        <f>MOD(J6*J6-B6-Gx,prime)</f>
        <v/>
      </c>
      <c r="C7">
        <f>MOD(J6*(Gx-B7)-Gy,prime)</f>
        <v/>
      </c>
      <c r="D7">
        <f>MOD(C7*C7,prime)</f>
        <v/>
      </c>
      <c r="E7">
        <f>MOD(B7^3+a*B7+b,prime)</f>
        <v/>
      </c>
      <c r="G7">
        <f>MOD(Gy-C7,prime)</f>
        <v/>
      </c>
      <c r="H7">
        <f>MOD(Gx-B7,prime)</f>
        <v/>
      </c>
      <c r="I7">
        <f>IF(SUMPRODUCT((MOD(MOD(H7,prime)*ROW($A$1:$A$57),prime)=1)*(ROW($A$1:$A$57)&lt;prime)*ROW($A$1:$A$57))=0,NA(),SUMPRODUCT((MOD(MOD(H7,prime)*ROW($A$1:$A$57),prime)=1)*(ROW($A$1:$A$57)&lt;prime)*ROW($A$1:$A$57)))</f>
        <v/>
      </c>
      <c r="J7">
        <f>MOD(G7*I7,prime)</f>
        <v/>
      </c>
    </row>
    <row r="8">
      <c r="A8" t="n">
        <v>3</v>
      </c>
      <c r="B8">
        <f>MOD(J7*J7-B7-Gx,prime)</f>
        <v/>
      </c>
      <c r="C8">
        <f>MOD(J7*(Gx-B8)-Gy,prime)</f>
        <v/>
      </c>
      <c r="D8">
        <f>MOD(C8*C8,prime)</f>
        <v/>
      </c>
      <c r="E8">
        <f>MOD(B8^3+a*B8+b,prime)</f>
        <v/>
      </c>
      <c r="G8">
        <f>MOD(Gy-C8,prime)</f>
        <v/>
      </c>
      <c r="H8">
        <f>MOD(Gx-B8,prime)</f>
        <v/>
      </c>
      <c r="I8">
        <f>IF(SUMPRODUCT((MOD(MOD(H8,prime)*ROW($A$1:$A$57),prime)=1)*(ROW($A$1:$A$57)&lt;prime)*ROW($A$1:$A$57))=0,NA(),SUMPRODUCT((MOD(MOD(H8,prime)*ROW($A$1:$A$57),prime)=1)*(ROW($A$1:$A$57)&lt;prime)*ROW($A$1:$A$57)))</f>
        <v/>
      </c>
      <c r="J8">
        <f>MOD(G8*I8,prime)</f>
        <v/>
      </c>
    </row>
    <row r="9">
      <c r="A9" t="n">
        <v>4</v>
      </c>
      <c r="B9">
        <f>MOD(J8*J8-B8-Gx,prime)</f>
        <v/>
      </c>
      <c r="C9">
        <f>MOD(J8*(Gx-B9)-Gy,prime)</f>
        <v/>
      </c>
      <c r="D9">
        <f>MOD(C9*C9,prime)</f>
        <v/>
      </c>
      <c r="E9">
        <f>MOD(B9^3+a*B9+b,prime)</f>
        <v/>
      </c>
      <c r="G9">
        <f>MOD(Gy-C9,prime)</f>
        <v/>
      </c>
      <c r="H9">
        <f>MOD(Gx-B9,prime)</f>
        <v/>
      </c>
      <c r="I9">
        <f>IF(SUMPRODUCT((MOD(MOD(H9,prime)*ROW($A$1:$A$57),prime)=1)*(ROW($A$1:$A$57)&lt;prime)*ROW($A$1:$A$57))=0,NA(),SUMPRODUCT((MOD(MOD(H9,prime)*ROW($A$1:$A$57),prime)=1)*(ROW($A$1:$A$57)&lt;prime)*ROW($A$1:$A$57)))</f>
        <v/>
      </c>
      <c r="J9">
        <f>MOD(G9*I9,prime)</f>
        <v/>
      </c>
    </row>
    <row r="10">
      <c r="A10" t="n">
        <v>5</v>
      </c>
      <c r="B10">
        <f>MOD(J9*J9-B9-Gx,prime)</f>
        <v/>
      </c>
      <c r="C10">
        <f>MOD(J9*(Gx-B10)-Gy,prime)</f>
        <v/>
      </c>
      <c r="D10">
        <f>MOD(C10*C10,prime)</f>
        <v/>
      </c>
      <c r="E10">
        <f>MOD(B10^3+a*B10+b,prime)</f>
        <v/>
      </c>
      <c r="G10">
        <f>MOD(Gy-C10,prime)</f>
        <v/>
      </c>
      <c r="H10">
        <f>MOD(Gx-B10,prime)</f>
        <v/>
      </c>
      <c r="I10">
        <f>IF(SUMPRODUCT((MOD(MOD(H10,prime)*ROW($A$1:$A$57),prime)=1)*(ROW($A$1:$A$57)&lt;prime)*ROW($A$1:$A$57))=0,NA(),SUMPRODUCT((MOD(MOD(H10,prime)*ROW($A$1:$A$57),prime)=1)*(ROW($A$1:$A$57)&lt;prime)*ROW($A$1:$A$57)))</f>
        <v/>
      </c>
      <c r="J10">
        <f>MOD(G10*I10,prime)</f>
        <v/>
      </c>
    </row>
    <row r="11">
      <c r="A11" t="n">
        <v>6</v>
      </c>
      <c r="B11">
        <f>MOD(J10*J10-B10-Gx,prime)</f>
        <v/>
      </c>
      <c r="C11">
        <f>MOD(J10*(Gx-B11)-Gy,prime)</f>
        <v/>
      </c>
      <c r="D11">
        <f>MOD(C11*C11,prime)</f>
        <v/>
      </c>
      <c r="E11">
        <f>MOD(B11^3+a*B11+b,prime)</f>
        <v/>
      </c>
      <c r="G11">
        <f>MOD(Gy-C11,prime)</f>
        <v/>
      </c>
      <c r="H11">
        <f>MOD(Gx-B11,prime)</f>
        <v/>
      </c>
      <c r="I11">
        <f>IF(SUMPRODUCT((MOD(MOD(H11,prime)*ROW($A$1:$A$57),prime)=1)*(ROW($A$1:$A$57)&lt;prime)*ROW($A$1:$A$57))=0,NA(),SUMPRODUCT((MOD(MOD(H11,prime)*ROW($A$1:$A$57),prime)=1)*(ROW($A$1:$A$57)&lt;prime)*ROW($A$1:$A$57)))</f>
        <v/>
      </c>
      <c r="J11">
        <f>MOD(G11*I11,prime)</f>
        <v/>
      </c>
    </row>
    <row r="12">
      <c r="A12" t="n">
        <v>7</v>
      </c>
      <c r="B12">
        <f>MOD(J11*J11-B11-Gx,prime)</f>
        <v/>
      </c>
      <c r="C12">
        <f>MOD(J11*(Gx-B12)-Gy,prime)</f>
        <v/>
      </c>
      <c r="D12">
        <f>MOD(C12*C12,prime)</f>
        <v/>
      </c>
      <c r="E12">
        <f>MOD(B12^3+a*B12+b,prime)</f>
        <v/>
      </c>
      <c r="G12">
        <f>MOD(Gy-C12,prime)</f>
        <v/>
      </c>
      <c r="H12">
        <f>MOD(Gx-B12,prime)</f>
        <v/>
      </c>
      <c r="I12">
        <f>IF(SUMPRODUCT((MOD(MOD(H12,prime)*ROW($A$1:$A$57),prime)=1)*(ROW($A$1:$A$57)&lt;prime)*ROW($A$1:$A$57))=0,NA(),SUMPRODUCT((MOD(MOD(H12,prime)*ROW($A$1:$A$57),prime)=1)*(ROW($A$1:$A$57)&lt;prime)*ROW($A$1:$A$57)))</f>
        <v/>
      </c>
      <c r="J12">
        <f>MOD(G12*I12,prime)</f>
        <v/>
      </c>
    </row>
    <row r="13">
      <c r="A13" t="n">
        <v>8</v>
      </c>
      <c r="B13">
        <f>MOD(J12*J12-B12-Gx,prime)</f>
        <v/>
      </c>
      <c r="C13">
        <f>MOD(J12*(Gx-B13)-Gy,prime)</f>
        <v/>
      </c>
      <c r="D13">
        <f>MOD(C13*C13,prime)</f>
        <v/>
      </c>
      <c r="E13">
        <f>MOD(B13^3+a*B13+b,prime)</f>
        <v/>
      </c>
      <c r="G13">
        <f>MOD(Gy-C13,prime)</f>
        <v/>
      </c>
      <c r="H13">
        <f>MOD(Gx-B13,prime)</f>
        <v/>
      </c>
      <c r="I13">
        <f>IF(SUMPRODUCT((MOD(MOD(H13,prime)*ROW($A$1:$A$57),prime)=1)*(ROW($A$1:$A$57)&lt;prime)*ROW($A$1:$A$57))=0,NA(),SUMPRODUCT((MOD(MOD(H13,prime)*ROW($A$1:$A$57),prime)=1)*(ROW($A$1:$A$57)&lt;prime)*ROW($A$1:$A$57)))</f>
        <v/>
      </c>
      <c r="J13">
        <f>MOD(G13*I13,prime)</f>
        <v/>
      </c>
    </row>
    <row r="14">
      <c r="A14" t="n">
        <v>9</v>
      </c>
      <c r="B14">
        <f>MOD(J13*J13-B13-Gx,prime)</f>
        <v/>
      </c>
      <c r="C14">
        <f>MOD(J13*(Gx-B14)-Gy,prime)</f>
        <v/>
      </c>
      <c r="D14">
        <f>MOD(C14*C14,prime)</f>
        <v/>
      </c>
      <c r="E14">
        <f>MOD(B14^3+a*B14+b,prime)</f>
        <v/>
      </c>
      <c r="G14">
        <f>MOD(Gy-C14,prime)</f>
        <v/>
      </c>
      <c r="H14">
        <f>MOD(Gx-B14,prime)</f>
        <v/>
      </c>
      <c r="I14">
        <f>IF(SUMPRODUCT((MOD(MOD(H14,prime)*ROW($A$1:$A$57),prime)=1)*(ROW($A$1:$A$57)&lt;prime)*ROW($A$1:$A$57))=0,NA(),SUMPRODUCT((MOD(MOD(H14,prime)*ROW($A$1:$A$57),prime)=1)*(ROW($A$1:$A$57)&lt;prime)*ROW($A$1:$A$57)))</f>
        <v/>
      </c>
      <c r="J14">
        <f>MOD(G14*I14,prime)</f>
        <v/>
      </c>
    </row>
    <row r="15">
      <c r="A15" t="n">
        <v>10</v>
      </c>
      <c r="B15">
        <f>MOD(J14*J14-B14-Gx,prime)</f>
        <v/>
      </c>
      <c r="C15">
        <f>MOD(J14*(Gx-B15)-Gy,prime)</f>
        <v/>
      </c>
      <c r="D15">
        <f>MOD(C15*C15,prime)</f>
        <v/>
      </c>
      <c r="E15">
        <f>MOD(B15^3+a*B15+b,prime)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2026-09-27T18:26:46Z</dcterms:created>
  <dcterms:modified xsi:type="dcterms:W3CDTF">2026-09-27T18:26:46Z</dcterms:modified>
</cp:coreProperties>
</file>