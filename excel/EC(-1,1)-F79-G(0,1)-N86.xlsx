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-1x + 1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-1x + 1 over F79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F'!$A$8:$A$86</f>
            </numRef>
          </xVal>
          <yVal>
            <numRef>
              <f>'EC over F'!$C$8:$C$86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F'!$A$8:$A$86</f>
            </numRef>
          </xVal>
          <yVal>
            <numRef>
              <f>'EC over F'!$D$8:$D$86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(0,1) over F79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Field'!$B$6:$B$48</f>
            </numRef>
          </xVal>
          <yVal>
            <numRef>
              <f>'Finite Field'!$C$6:$C$48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0.03333333333333333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-1.324717957244746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-1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1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79</v>
      </c>
    </row>
    <row r="4">
      <c r="A4" t="inlineStr">
        <is>
          <t>cofactor</t>
        </is>
      </c>
      <c r="B4" t="n">
        <v>2</v>
      </c>
    </row>
    <row r="5">
      <c r="A5" t="inlineStr">
        <is>
          <t># points</t>
        </is>
      </c>
      <c r="B5">
        <f>COUNT(C8:C86)+COUNT(D8:D86)+1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$129)^2,prime)=MOD(B8,prime))*(ROW($A$1:$A$129)&lt;prime)*(MOD(ROW($A$1:$A$129),2)=1)*ROW($A$1:$A$129))=0,NA(),SUMPRODUCT((MOD(ROW($A$1:$A$129)^2,prime)=MOD(B8,prime))*(ROW($A$1:$A$129)&lt;prime)*(MOD(ROW($A$1:$A$129),2)=1)*ROW($A$1:$A$129)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$129)^2,prime)=MOD(B9,prime))*(ROW($A$1:$A$129)&lt;prime)*(MOD(ROW($A$1:$A$129),2)=1)*ROW($A$1:$A$129))=0,NA(),SUMPRODUCT((MOD(ROW($A$1:$A$129)^2,prime)=MOD(B9,prime))*(ROW($A$1:$A$129)&lt;prime)*(MOD(ROW($A$1:$A$129),2)=1)*ROW($A$1:$A$129)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$129)^2,prime)=MOD(B10,prime))*(ROW($A$1:$A$129)&lt;prime)*(MOD(ROW($A$1:$A$129),2)=1)*ROW($A$1:$A$129))=0,NA(),SUMPRODUCT((MOD(ROW($A$1:$A$129)^2,prime)=MOD(B10,prime))*(ROW($A$1:$A$129)&lt;prime)*(MOD(ROW($A$1:$A$129),2)=1)*ROW($A$1:$A$129)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$129)^2,prime)=MOD(B11,prime))*(ROW($A$1:$A$129)&lt;prime)*(MOD(ROW($A$1:$A$129),2)=1)*ROW($A$1:$A$129))=0,NA(),SUMPRODUCT((MOD(ROW($A$1:$A$129)^2,prime)=MOD(B11,prime))*(ROW($A$1:$A$129)&lt;prime)*(MOD(ROW($A$1:$A$129),2)=1)*ROW($A$1:$A$129)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$129)^2,prime)=MOD(B12,prime))*(ROW($A$1:$A$129)&lt;prime)*(MOD(ROW($A$1:$A$129),2)=1)*ROW($A$1:$A$129))=0,NA(),SUMPRODUCT((MOD(ROW($A$1:$A$129)^2,prime)=MOD(B12,prime))*(ROW($A$1:$A$129)&lt;prime)*(MOD(ROW($A$1:$A$129),2)=1)*ROW($A$1:$A$129)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$129)^2,prime)=MOD(B13,prime))*(ROW($A$1:$A$129)&lt;prime)*(MOD(ROW($A$1:$A$129),2)=1)*ROW($A$1:$A$129))=0,NA(),SUMPRODUCT((MOD(ROW($A$1:$A$129)^2,prime)=MOD(B13,prime))*(ROW($A$1:$A$129)&lt;prime)*(MOD(ROW($A$1:$A$129),2)=1)*ROW($A$1:$A$129)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$129)^2,prime)=MOD(B14,prime))*(ROW($A$1:$A$129)&lt;prime)*(MOD(ROW($A$1:$A$129),2)=1)*ROW($A$1:$A$129))=0,NA(),SUMPRODUCT((MOD(ROW($A$1:$A$129)^2,prime)=MOD(B14,prime))*(ROW($A$1:$A$129)&lt;prime)*(MOD(ROW($A$1:$A$129),2)=1)*ROW($A$1:$A$129)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$129)^2,prime)=MOD(B15,prime))*(ROW($A$1:$A$129)&lt;prime)*(MOD(ROW($A$1:$A$129),2)=1)*ROW($A$1:$A$129))=0,NA(),SUMPRODUCT((MOD(ROW($A$1:$A$129)^2,prime)=MOD(B15,prime))*(ROW($A$1:$A$129)&lt;prime)*(MOD(ROW($A$1:$A$129),2)=1)*ROW($A$1:$A$129)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$129)^2,prime)=MOD(B16,prime))*(ROW($A$1:$A$129)&lt;prime)*(MOD(ROW($A$1:$A$129),2)=1)*ROW($A$1:$A$129))=0,NA(),SUMPRODUCT((MOD(ROW($A$1:$A$129)^2,prime)=MOD(B16,prime))*(ROW($A$1:$A$129)&lt;prime)*(MOD(ROW($A$1:$A$129),2)=1)*ROW($A$1:$A$129)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$129)^2,prime)=MOD(B17,prime))*(ROW($A$1:$A$129)&lt;prime)*(MOD(ROW($A$1:$A$129),2)=1)*ROW($A$1:$A$129))=0,NA(),SUMPRODUCT((MOD(ROW($A$1:$A$129)^2,prime)=MOD(B17,prime))*(ROW($A$1:$A$129)&lt;prime)*(MOD(ROW($A$1:$A$129),2)=1)*ROW($A$1:$A$129)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$129)^2,prime)=MOD(B18,prime))*(ROW($A$1:$A$129)&lt;prime)*(MOD(ROW($A$1:$A$129),2)=1)*ROW($A$1:$A$129))=0,NA(),SUMPRODUCT((MOD(ROW($A$1:$A$129)^2,prime)=MOD(B18,prime))*(ROW($A$1:$A$129)&lt;prime)*(MOD(ROW($A$1:$A$129),2)=1)*ROW($A$1:$A$129))))</f>
        <v/>
      </c>
      <c r="D18">
        <f>IF(OR(NOT(ISNUMBER(C18)),C18=0),NA(),MOD(prime-C18,prime))</f>
        <v/>
      </c>
    </row>
    <row r="19">
      <c r="A19" t="n">
        <v>11</v>
      </c>
      <c r="B19">
        <f>MOD(A19^3+a*A19+b,prime)</f>
        <v/>
      </c>
      <c r="C19">
        <f>IF(MOD(B19,prime)=0,0,IF(SUMPRODUCT((MOD(ROW($A$1:$A$129)^2,prime)=MOD(B19,prime))*(ROW($A$1:$A$129)&lt;prime)*(MOD(ROW($A$1:$A$129),2)=1)*ROW($A$1:$A$129))=0,NA(),SUMPRODUCT((MOD(ROW($A$1:$A$129)^2,prime)=MOD(B19,prime))*(ROW($A$1:$A$129)&lt;prime)*(MOD(ROW($A$1:$A$129),2)=1)*ROW($A$1:$A$129))))</f>
        <v/>
      </c>
      <c r="D19">
        <f>IF(OR(NOT(ISNUMBER(C19)),C19=0),NA(),MOD(prime-C19,prime))</f>
        <v/>
      </c>
    </row>
    <row r="20">
      <c r="A20" t="n">
        <v>12</v>
      </c>
      <c r="B20">
        <f>MOD(A20^3+a*A20+b,prime)</f>
        <v/>
      </c>
      <c r="C20">
        <f>IF(MOD(B20,prime)=0,0,IF(SUMPRODUCT((MOD(ROW($A$1:$A$129)^2,prime)=MOD(B20,prime))*(ROW($A$1:$A$129)&lt;prime)*(MOD(ROW($A$1:$A$129),2)=1)*ROW($A$1:$A$129))=0,NA(),SUMPRODUCT((MOD(ROW($A$1:$A$129)^2,prime)=MOD(B20,prime))*(ROW($A$1:$A$129)&lt;prime)*(MOD(ROW($A$1:$A$129),2)=1)*ROW($A$1:$A$129))))</f>
        <v/>
      </c>
      <c r="D20">
        <f>IF(OR(NOT(ISNUMBER(C20)),C20=0),NA(),MOD(prime-C20,prime))</f>
        <v/>
      </c>
    </row>
    <row r="21">
      <c r="A21" t="n">
        <v>13</v>
      </c>
      <c r="B21">
        <f>MOD(A21^3+a*A21+b,prime)</f>
        <v/>
      </c>
      <c r="C21">
        <f>IF(MOD(B21,prime)=0,0,IF(SUMPRODUCT((MOD(ROW($A$1:$A$129)^2,prime)=MOD(B21,prime))*(ROW($A$1:$A$129)&lt;prime)*(MOD(ROW($A$1:$A$129),2)=1)*ROW($A$1:$A$129))=0,NA(),SUMPRODUCT((MOD(ROW($A$1:$A$129)^2,prime)=MOD(B21,prime))*(ROW($A$1:$A$129)&lt;prime)*(MOD(ROW($A$1:$A$129),2)=1)*ROW($A$1:$A$129))))</f>
        <v/>
      </c>
      <c r="D21">
        <f>IF(OR(NOT(ISNUMBER(C21)),C21=0),NA(),MOD(prime-C21,prime))</f>
        <v/>
      </c>
    </row>
    <row r="22">
      <c r="A22" t="n">
        <v>14</v>
      </c>
      <c r="B22">
        <f>MOD(A22^3+a*A22+b,prime)</f>
        <v/>
      </c>
      <c r="C22">
        <f>IF(MOD(B22,prime)=0,0,IF(SUMPRODUCT((MOD(ROW($A$1:$A$129)^2,prime)=MOD(B22,prime))*(ROW($A$1:$A$129)&lt;prime)*(MOD(ROW($A$1:$A$129),2)=1)*ROW($A$1:$A$129))=0,NA(),SUMPRODUCT((MOD(ROW($A$1:$A$129)^2,prime)=MOD(B22,prime))*(ROW($A$1:$A$129)&lt;prime)*(MOD(ROW($A$1:$A$129),2)=1)*ROW($A$1:$A$129))))</f>
        <v/>
      </c>
      <c r="D22">
        <f>IF(OR(NOT(ISNUMBER(C22)),C22=0),NA(),MOD(prime-C22,prime))</f>
        <v/>
      </c>
    </row>
    <row r="23">
      <c r="A23" t="n">
        <v>15</v>
      </c>
      <c r="B23">
        <f>MOD(A23^3+a*A23+b,prime)</f>
        <v/>
      </c>
      <c r="C23">
        <f>IF(MOD(B23,prime)=0,0,IF(SUMPRODUCT((MOD(ROW($A$1:$A$129)^2,prime)=MOD(B23,prime))*(ROW($A$1:$A$129)&lt;prime)*(MOD(ROW($A$1:$A$129),2)=1)*ROW($A$1:$A$129))=0,NA(),SUMPRODUCT((MOD(ROW($A$1:$A$129)^2,prime)=MOD(B23,prime))*(ROW($A$1:$A$129)&lt;prime)*(MOD(ROW($A$1:$A$129),2)=1)*ROW($A$1:$A$129))))</f>
        <v/>
      </c>
      <c r="D23">
        <f>IF(OR(NOT(ISNUMBER(C23)),C23=0),NA(),MOD(prime-C23,prime))</f>
        <v/>
      </c>
    </row>
    <row r="24">
      <c r="A24" t="n">
        <v>16</v>
      </c>
      <c r="B24">
        <f>MOD(A24^3+a*A24+b,prime)</f>
        <v/>
      </c>
      <c r="C24">
        <f>IF(MOD(B24,prime)=0,0,IF(SUMPRODUCT((MOD(ROW($A$1:$A$129)^2,prime)=MOD(B24,prime))*(ROW($A$1:$A$129)&lt;prime)*(MOD(ROW($A$1:$A$129),2)=1)*ROW($A$1:$A$129))=0,NA(),SUMPRODUCT((MOD(ROW($A$1:$A$129)^2,prime)=MOD(B24,prime))*(ROW($A$1:$A$129)&lt;prime)*(MOD(ROW($A$1:$A$129),2)=1)*ROW($A$1:$A$129))))</f>
        <v/>
      </c>
      <c r="D24">
        <f>IF(OR(NOT(ISNUMBER(C24)),C24=0),NA(),MOD(prime-C24,prime))</f>
        <v/>
      </c>
    </row>
    <row r="25">
      <c r="A25" t="n">
        <v>17</v>
      </c>
      <c r="B25">
        <f>MOD(A25^3+a*A25+b,prime)</f>
        <v/>
      </c>
      <c r="C25">
        <f>IF(MOD(B25,prime)=0,0,IF(SUMPRODUCT((MOD(ROW($A$1:$A$129)^2,prime)=MOD(B25,prime))*(ROW($A$1:$A$129)&lt;prime)*(MOD(ROW($A$1:$A$129),2)=1)*ROW($A$1:$A$129))=0,NA(),SUMPRODUCT((MOD(ROW($A$1:$A$129)^2,prime)=MOD(B25,prime))*(ROW($A$1:$A$129)&lt;prime)*(MOD(ROW($A$1:$A$129),2)=1)*ROW($A$1:$A$129))))</f>
        <v/>
      </c>
      <c r="D25">
        <f>IF(OR(NOT(ISNUMBER(C25)),C25=0),NA(),MOD(prime-C25,prime))</f>
        <v/>
      </c>
    </row>
    <row r="26">
      <c r="A26" t="n">
        <v>18</v>
      </c>
      <c r="B26">
        <f>MOD(A26^3+a*A26+b,prime)</f>
        <v/>
      </c>
      <c r="C26">
        <f>IF(MOD(B26,prime)=0,0,IF(SUMPRODUCT((MOD(ROW($A$1:$A$129)^2,prime)=MOD(B26,prime))*(ROW($A$1:$A$129)&lt;prime)*(MOD(ROW($A$1:$A$129),2)=1)*ROW($A$1:$A$129))=0,NA(),SUMPRODUCT((MOD(ROW($A$1:$A$129)^2,prime)=MOD(B26,prime))*(ROW($A$1:$A$129)&lt;prime)*(MOD(ROW($A$1:$A$129),2)=1)*ROW($A$1:$A$129))))</f>
        <v/>
      </c>
      <c r="D26">
        <f>IF(OR(NOT(ISNUMBER(C26)),C26=0),NA(),MOD(prime-C26,prime))</f>
        <v/>
      </c>
    </row>
    <row r="27">
      <c r="A27" t="n">
        <v>19</v>
      </c>
      <c r="B27">
        <f>MOD(A27^3+a*A27+b,prime)</f>
        <v/>
      </c>
      <c r="C27">
        <f>IF(MOD(B27,prime)=0,0,IF(SUMPRODUCT((MOD(ROW($A$1:$A$129)^2,prime)=MOD(B27,prime))*(ROW($A$1:$A$129)&lt;prime)*(MOD(ROW($A$1:$A$129),2)=1)*ROW($A$1:$A$129))=0,NA(),SUMPRODUCT((MOD(ROW($A$1:$A$129)^2,prime)=MOD(B27,prime))*(ROW($A$1:$A$129)&lt;prime)*(MOD(ROW($A$1:$A$129),2)=1)*ROW($A$1:$A$129))))</f>
        <v/>
      </c>
      <c r="D27">
        <f>IF(OR(NOT(ISNUMBER(C27)),C27=0),NA(),MOD(prime-C27,prime))</f>
        <v/>
      </c>
    </row>
    <row r="28">
      <c r="A28" t="n">
        <v>20</v>
      </c>
      <c r="B28">
        <f>MOD(A28^3+a*A28+b,prime)</f>
        <v/>
      </c>
      <c r="C28">
        <f>IF(MOD(B28,prime)=0,0,IF(SUMPRODUCT((MOD(ROW($A$1:$A$129)^2,prime)=MOD(B28,prime))*(ROW($A$1:$A$129)&lt;prime)*(MOD(ROW($A$1:$A$129),2)=1)*ROW($A$1:$A$129))=0,NA(),SUMPRODUCT((MOD(ROW($A$1:$A$129)^2,prime)=MOD(B28,prime))*(ROW($A$1:$A$129)&lt;prime)*(MOD(ROW($A$1:$A$129),2)=1)*ROW($A$1:$A$129))))</f>
        <v/>
      </c>
      <c r="D28">
        <f>IF(OR(NOT(ISNUMBER(C28)),C28=0),NA(),MOD(prime-C28,prime))</f>
        <v/>
      </c>
    </row>
    <row r="29">
      <c r="A29" t="n">
        <v>21</v>
      </c>
      <c r="B29">
        <f>MOD(A29^3+a*A29+b,prime)</f>
        <v/>
      </c>
      <c r="C29">
        <f>IF(MOD(B29,prime)=0,0,IF(SUMPRODUCT((MOD(ROW($A$1:$A$129)^2,prime)=MOD(B29,prime))*(ROW($A$1:$A$129)&lt;prime)*(MOD(ROW($A$1:$A$129),2)=1)*ROW($A$1:$A$129))=0,NA(),SUMPRODUCT((MOD(ROW($A$1:$A$129)^2,prime)=MOD(B29,prime))*(ROW($A$1:$A$129)&lt;prime)*(MOD(ROW($A$1:$A$129),2)=1)*ROW($A$1:$A$129))))</f>
        <v/>
      </c>
      <c r="D29">
        <f>IF(OR(NOT(ISNUMBER(C29)),C29=0),NA(),MOD(prime-C29,prime))</f>
        <v/>
      </c>
    </row>
    <row r="30">
      <c r="A30" t="n">
        <v>22</v>
      </c>
      <c r="B30">
        <f>MOD(A30^3+a*A30+b,prime)</f>
        <v/>
      </c>
      <c r="C30">
        <f>IF(MOD(B30,prime)=0,0,IF(SUMPRODUCT((MOD(ROW($A$1:$A$129)^2,prime)=MOD(B30,prime))*(ROW($A$1:$A$129)&lt;prime)*(MOD(ROW($A$1:$A$129),2)=1)*ROW($A$1:$A$129))=0,NA(),SUMPRODUCT((MOD(ROW($A$1:$A$129)^2,prime)=MOD(B30,prime))*(ROW($A$1:$A$129)&lt;prime)*(MOD(ROW($A$1:$A$129),2)=1)*ROW($A$1:$A$129))))</f>
        <v/>
      </c>
      <c r="D30">
        <f>IF(OR(NOT(ISNUMBER(C30)),C30=0),NA(),MOD(prime-C30,prime))</f>
        <v/>
      </c>
    </row>
    <row r="31">
      <c r="A31" t="n">
        <v>23</v>
      </c>
      <c r="B31">
        <f>MOD(A31^3+a*A31+b,prime)</f>
        <v/>
      </c>
      <c r="C31">
        <f>IF(MOD(B31,prime)=0,0,IF(SUMPRODUCT((MOD(ROW($A$1:$A$129)^2,prime)=MOD(B31,prime))*(ROW($A$1:$A$129)&lt;prime)*(MOD(ROW($A$1:$A$129),2)=1)*ROW($A$1:$A$129))=0,NA(),SUMPRODUCT((MOD(ROW($A$1:$A$129)^2,prime)=MOD(B31,prime))*(ROW($A$1:$A$129)&lt;prime)*(MOD(ROW($A$1:$A$129),2)=1)*ROW($A$1:$A$129))))</f>
        <v/>
      </c>
      <c r="D31">
        <f>IF(OR(NOT(ISNUMBER(C31)),C31=0),NA(),MOD(prime-C31,prime))</f>
        <v/>
      </c>
    </row>
    <row r="32">
      <c r="A32" t="n">
        <v>24</v>
      </c>
      <c r="B32">
        <f>MOD(A32^3+a*A32+b,prime)</f>
        <v/>
      </c>
      <c r="C32">
        <f>IF(MOD(B32,prime)=0,0,IF(SUMPRODUCT((MOD(ROW($A$1:$A$129)^2,prime)=MOD(B32,prime))*(ROW($A$1:$A$129)&lt;prime)*(MOD(ROW($A$1:$A$129),2)=1)*ROW($A$1:$A$129))=0,NA(),SUMPRODUCT((MOD(ROW($A$1:$A$129)^2,prime)=MOD(B32,prime))*(ROW($A$1:$A$129)&lt;prime)*(MOD(ROW($A$1:$A$129),2)=1)*ROW($A$1:$A$129))))</f>
        <v/>
      </c>
      <c r="D32">
        <f>IF(OR(NOT(ISNUMBER(C32)),C32=0),NA(),MOD(prime-C32,prime))</f>
        <v/>
      </c>
    </row>
    <row r="33">
      <c r="A33" t="n">
        <v>25</v>
      </c>
      <c r="B33">
        <f>MOD(A33^3+a*A33+b,prime)</f>
        <v/>
      </c>
      <c r="C33">
        <f>IF(MOD(B33,prime)=0,0,IF(SUMPRODUCT((MOD(ROW($A$1:$A$129)^2,prime)=MOD(B33,prime))*(ROW($A$1:$A$129)&lt;prime)*(MOD(ROW($A$1:$A$129),2)=1)*ROW($A$1:$A$129))=0,NA(),SUMPRODUCT((MOD(ROW($A$1:$A$129)^2,prime)=MOD(B33,prime))*(ROW($A$1:$A$129)&lt;prime)*(MOD(ROW($A$1:$A$129),2)=1)*ROW($A$1:$A$129))))</f>
        <v/>
      </c>
      <c r="D33">
        <f>IF(OR(NOT(ISNUMBER(C33)),C33=0),NA(),MOD(prime-C33,prime))</f>
        <v/>
      </c>
    </row>
    <row r="34">
      <c r="A34" t="n">
        <v>26</v>
      </c>
      <c r="B34">
        <f>MOD(A34^3+a*A34+b,prime)</f>
        <v/>
      </c>
      <c r="C34">
        <f>IF(MOD(B34,prime)=0,0,IF(SUMPRODUCT((MOD(ROW($A$1:$A$129)^2,prime)=MOD(B34,prime))*(ROW($A$1:$A$129)&lt;prime)*(MOD(ROW($A$1:$A$129),2)=1)*ROW($A$1:$A$129))=0,NA(),SUMPRODUCT((MOD(ROW($A$1:$A$129)^2,prime)=MOD(B34,prime))*(ROW($A$1:$A$129)&lt;prime)*(MOD(ROW($A$1:$A$129),2)=1)*ROW($A$1:$A$129))))</f>
        <v/>
      </c>
      <c r="D34">
        <f>IF(OR(NOT(ISNUMBER(C34)),C34=0),NA(),MOD(prime-C34,prime))</f>
        <v/>
      </c>
    </row>
    <row r="35">
      <c r="A35" t="n">
        <v>27</v>
      </c>
      <c r="B35">
        <f>MOD(A35^3+a*A35+b,prime)</f>
        <v/>
      </c>
      <c r="C35">
        <f>IF(MOD(B35,prime)=0,0,IF(SUMPRODUCT((MOD(ROW($A$1:$A$129)^2,prime)=MOD(B35,prime))*(ROW($A$1:$A$129)&lt;prime)*(MOD(ROW($A$1:$A$129),2)=1)*ROW($A$1:$A$129))=0,NA(),SUMPRODUCT((MOD(ROW($A$1:$A$129)^2,prime)=MOD(B35,prime))*(ROW($A$1:$A$129)&lt;prime)*(MOD(ROW($A$1:$A$129),2)=1)*ROW($A$1:$A$129))))</f>
        <v/>
      </c>
      <c r="D35">
        <f>IF(OR(NOT(ISNUMBER(C35)),C35=0),NA(),MOD(prime-C35,prime))</f>
        <v/>
      </c>
    </row>
    <row r="36">
      <c r="A36" t="n">
        <v>28</v>
      </c>
      <c r="B36">
        <f>MOD(A36^3+a*A36+b,prime)</f>
        <v/>
      </c>
      <c r="C36">
        <f>IF(MOD(B36,prime)=0,0,IF(SUMPRODUCT((MOD(ROW($A$1:$A$129)^2,prime)=MOD(B36,prime))*(ROW($A$1:$A$129)&lt;prime)*(MOD(ROW($A$1:$A$129),2)=1)*ROW($A$1:$A$129))=0,NA(),SUMPRODUCT((MOD(ROW($A$1:$A$129)^2,prime)=MOD(B36,prime))*(ROW($A$1:$A$129)&lt;prime)*(MOD(ROW($A$1:$A$129),2)=1)*ROW($A$1:$A$129))))</f>
        <v/>
      </c>
      <c r="D36">
        <f>IF(OR(NOT(ISNUMBER(C36)),C36=0),NA(),MOD(prime-C36,prime))</f>
        <v/>
      </c>
    </row>
    <row r="37">
      <c r="A37" t="n">
        <v>29</v>
      </c>
      <c r="B37">
        <f>MOD(A37^3+a*A37+b,prime)</f>
        <v/>
      </c>
      <c r="C37">
        <f>IF(MOD(B37,prime)=0,0,IF(SUMPRODUCT((MOD(ROW($A$1:$A$129)^2,prime)=MOD(B37,prime))*(ROW($A$1:$A$129)&lt;prime)*(MOD(ROW($A$1:$A$129),2)=1)*ROW($A$1:$A$129))=0,NA(),SUMPRODUCT((MOD(ROW($A$1:$A$129)^2,prime)=MOD(B37,prime))*(ROW($A$1:$A$129)&lt;prime)*(MOD(ROW($A$1:$A$129),2)=1)*ROW($A$1:$A$129))))</f>
        <v/>
      </c>
      <c r="D37">
        <f>IF(OR(NOT(ISNUMBER(C37)),C37=0),NA(),MOD(prime-C37,prime))</f>
        <v/>
      </c>
    </row>
    <row r="38">
      <c r="A38" t="n">
        <v>30</v>
      </c>
      <c r="B38">
        <f>MOD(A38^3+a*A38+b,prime)</f>
        <v/>
      </c>
      <c r="C38">
        <f>IF(MOD(B38,prime)=0,0,IF(SUMPRODUCT((MOD(ROW($A$1:$A$129)^2,prime)=MOD(B38,prime))*(ROW($A$1:$A$129)&lt;prime)*(MOD(ROW($A$1:$A$129),2)=1)*ROW($A$1:$A$129))=0,NA(),SUMPRODUCT((MOD(ROW($A$1:$A$129)^2,prime)=MOD(B38,prime))*(ROW($A$1:$A$129)&lt;prime)*(MOD(ROW($A$1:$A$129),2)=1)*ROW($A$1:$A$129))))</f>
        <v/>
      </c>
      <c r="D38">
        <f>IF(OR(NOT(ISNUMBER(C38)),C38=0),NA(),MOD(prime-C38,prime))</f>
        <v/>
      </c>
    </row>
    <row r="39">
      <c r="A39" t="n">
        <v>31</v>
      </c>
      <c r="B39">
        <f>MOD(A39^3+a*A39+b,prime)</f>
        <v/>
      </c>
      <c r="C39">
        <f>IF(MOD(B39,prime)=0,0,IF(SUMPRODUCT((MOD(ROW($A$1:$A$129)^2,prime)=MOD(B39,prime))*(ROW($A$1:$A$129)&lt;prime)*(MOD(ROW($A$1:$A$129),2)=1)*ROW($A$1:$A$129))=0,NA(),SUMPRODUCT((MOD(ROW($A$1:$A$129)^2,prime)=MOD(B39,prime))*(ROW($A$1:$A$129)&lt;prime)*(MOD(ROW($A$1:$A$129),2)=1)*ROW($A$1:$A$129))))</f>
        <v/>
      </c>
      <c r="D39">
        <f>IF(OR(NOT(ISNUMBER(C39)),C39=0),NA(),MOD(prime-C39,prime))</f>
        <v/>
      </c>
    </row>
    <row r="40">
      <c r="A40" t="n">
        <v>32</v>
      </c>
      <c r="B40">
        <f>MOD(A40^3+a*A40+b,prime)</f>
        <v/>
      </c>
      <c r="C40">
        <f>IF(MOD(B40,prime)=0,0,IF(SUMPRODUCT((MOD(ROW($A$1:$A$129)^2,prime)=MOD(B40,prime))*(ROW($A$1:$A$129)&lt;prime)*(MOD(ROW($A$1:$A$129),2)=1)*ROW($A$1:$A$129))=0,NA(),SUMPRODUCT((MOD(ROW($A$1:$A$129)^2,prime)=MOD(B40,prime))*(ROW($A$1:$A$129)&lt;prime)*(MOD(ROW($A$1:$A$129),2)=1)*ROW($A$1:$A$129))))</f>
        <v/>
      </c>
      <c r="D40">
        <f>IF(OR(NOT(ISNUMBER(C40)),C40=0),NA(),MOD(prime-C40,prime))</f>
        <v/>
      </c>
    </row>
    <row r="41">
      <c r="A41" t="n">
        <v>33</v>
      </c>
      <c r="B41">
        <f>MOD(A41^3+a*A41+b,prime)</f>
        <v/>
      </c>
      <c r="C41">
        <f>IF(MOD(B41,prime)=0,0,IF(SUMPRODUCT((MOD(ROW($A$1:$A$129)^2,prime)=MOD(B41,prime))*(ROW($A$1:$A$129)&lt;prime)*(MOD(ROW($A$1:$A$129),2)=1)*ROW($A$1:$A$129))=0,NA(),SUMPRODUCT((MOD(ROW($A$1:$A$129)^2,prime)=MOD(B41,prime))*(ROW($A$1:$A$129)&lt;prime)*(MOD(ROW($A$1:$A$129),2)=1)*ROW($A$1:$A$129))))</f>
        <v/>
      </c>
      <c r="D41">
        <f>IF(OR(NOT(ISNUMBER(C41)),C41=0),NA(),MOD(prime-C41,prime))</f>
        <v/>
      </c>
    </row>
    <row r="42">
      <c r="A42" t="n">
        <v>34</v>
      </c>
      <c r="B42">
        <f>MOD(A42^3+a*A42+b,prime)</f>
        <v/>
      </c>
      <c r="C42">
        <f>IF(MOD(B42,prime)=0,0,IF(SUMPRODUCT((MOD(ROW($A$1:$A$129)^2,prime)=MOD(B42,prime))*(ROW($A$1:$A$129)&lt;prime)*(MOD(ROW($A$1:$A$129),2)=1)*ROW($A$1:$A$129))=0,NA(),SUMPRODUCT((MOD(ROW($A$1:$A$129)^2,prime)=MOD(B42,prime))*(ROW($A$1:$A$129)&lt;prime)*(MOD(ROW($A$1:$A$129),2)=1)*ROW($A$1:$A$129))))</f>
        <v/>
      </c>
      <c r="D42">
        <f>IF(OR(NOT(ISNUMBER(C42)),C42=0),NA(),MOD(prime-C42,prime))</f>
        <v/>
      </c>
    </row>
    <row r="43">
      <c r="A43" t="n">
        <v>35</v>
      </c>
      <c r="B43">
        <f>MOD(A43^3+a*A43+b,prime)</f>
        <v/>
      </c>
      <c r="C43">
        <f>IF(MOD(B43,prime)=0,0,IF(SUMPRODUCT((MOD(ROW($A$1:$A$129)^2,prime)=MOD(B43,prime))*(ROW($A$1:$A$129)&lt;prime)*(MOD(ROW($A$1:$A$129),2)=1)*ROW($A$1:$A$129))=0,NA(),SUMPRODUCT((MOD(ROW($A$1:$A$129)^2,prime)=MOD(B43,prime))*(ROW($A$1:$A$129)&lt;prime)*(MOD(ROW($A$1:$A$129),2)=1)*ROW($A$1:$A$129))))</f>
        <v/>
      </c>
      <c r="D43">
        <f>IF(OR(NOT(ISNUMBER(C43)),C43=0),NA(),MOD(prime-C43,prime))</f>
        <v/>
      </c>
    </row>
    <row r="44">
      <c r="A44" t="n">
        <v>36</v>
      </c>
      <c r="B44">
        <f>MOD(A44^3+a*A44+b,prime)</f>
        <v/>
      </c>
      <c r="C44">
        <f>IF(MOD(B44,prime)=0,0,IF(SUMPRODUCT((MOD(ROW($A$1:$A$129)^2,prime)=MOD(B44,prime))*(ROW($A$1:$A$129)&lt;prime)*(MOD(ROW($A$1:$A$129),2)=1)*ROW($A$1:$A$129))=0,NA(),SUMPRODUCT((MOD(ROW($A$1:$A$129)^2,prime)=MOD(B44,prime))*(ROW($A$1:$A$129)&lt;prime)*(MOD(ROW($A$1:$A$129),2)=1)*ROW($A$1:$A$129))))</f>
        <v/>
      </c>
      <c r="D44">
        <f>IF(OR(NOT(ISNUMBER(C44)),C44=0),NA(),MOD(prime-C44,prime))</f>
        <v/>
      </c>
    </row>
    <row r="45">
      <c r="A45" t="n">
        <v>37</v>
      </c>
      <c r="B45">
        <f>MOD(A45^3+a*A45+b,prime)</f>
        <v/>
      </c>
      <c r="C45">
        <f>IF(MOD(B45,prime)=0,0,IF(SUMPRODUCT((MOD(ROW($A$1:$A$129)^2,prime)=MOD(B45,prime))*(ROW($A$1:$A$129)&lt;prime)*(MOD(ROW($A$1:$A$129),2)=1)*ROW($A$1:$A$129))=0,NA(),SUMPRODUCT((MOD(ROW($A$1:$A$129)^2,prime)=MOD(B45,prime))*(ROW($A$1:$A$129)&lt;prime)*(MOD(ROW($A$1:$A$129),2)=1)*ROW($A$1:$A$129))))</f>
        <v/>
      </c>
      <c r="D45">
        <f>IF(OR(NOT(ISNUMBER(C45)),C45=0),NA(),MOD(prime-C45,prime))</f>
        <v/>
      </c>
    </row>
    <row r="46">
      <c r="A46" t="n">
        <v>38</v>
      </c>
      <c r="B46">
        <f>MOD(A46^3+a*A46+b,prime)</f>
        <v/>
      </c>
      <c r="C46">
        <f>IF(MOD(B46,prime)=0,0,IF(SUMPRODUCT((MOD(ROW($A$1:$A$129)^2,prime)=MOD(B46,prime))*(ROW($A$1:$A$129)&lt;prime)*(MOD(ROW($A$1:$A$129),2)=1)*ROW($A$1:$A$129))=0,NA(),SUMPRODUCT((MOD(ROW($A$1:$A$129)^2,prime)=MOD(B46,prime))*(ROW($A$1:$A$129)&lt;prime)*(MOD(ROW($A$1:$A$129),2)=1)*ROW($A$1:$A$129))))</f>
        <v/>
      </c>
      <c r="D46">
        <f>IF(OR(NOT(ISNUMBER(C46)),C46=0),NA(),MOD(prime-C46,prime))</f>
        <v/>
      </c>
    </row>
    <row r="47">
      <c r="A47" t="n">
        <v>39</v>
      </c>
      <c r="B47">
        <f>MOD(A47^3+a*A47+b,prime)</f>
        <v/>
      </c>
      <c r="C47">
        <f>IF(MOD(B47,prime)=0,0,IF(SUMPRODUCT((MOD(ROW($A$1:$A$129)^2,prime)=MOD(B47,prime))*(ROW($A$1:$A$129)&lt;prime)*(MOD(ROW($A$1:$A$129),2)=1)*ROW($A$1:$A$129))=0,NA(),SUMPRODUCT((MOD(ROW($A$1:$A$129)^2,prime)=MOD(B47,prime))*(ROW($A$1:$A$129)&lt;prime)*(MOD(ROW($A$1:$A$129),2)=1)*ROW($A$1:$A$129))))</f>
        <v/>
      </c>
      <c r="D47">
        <f>IF(OR(NOT(ISNUMBER(C47)),C47=0),NA(),MOD(prime-C47,prime))</f>
        <v/>
      </c>
    </row>
    <row r="48">
      <c r="A48" t="n">
        <v>40</v>
      </c>
      <c r="B48">
        <f>MOD(A48^3+a*A48+b,prime)</f>
        <v/>
      </c>
      <c r="C48">
        <f>IF(MOD(B48,prime)=0,0,IF(SUMPRODUCT((MOD(ROW($A$1:$A$129)^2,prime)=MOD(B48,prime))*(ROW($A$1:$A$129)&lt;prime)*(MOD(ROW($A$1:$A$129),2)=1)*ROW($A$1:$A$129))=0,NA(),SUMPRODUCT((MOD(ROW($A$1:$A$129)^2,prime)=MOD(B48,prime))*(ROW($A$1:$A$129)&lt;prime)*(MOD(ROW($A$1:$A$129),2)=1)*ROW($A$1:$A$129))))</f>
        <v/>
      </c>
      <c r="D48">
        <f>IF(OR(NOT(ISNUMBER(C48)),C48=0),NA(),MOD(prime-C48,prime))</f>
        <v/>
      </c>
    </row>
    <row r="49">
      <c r="A49" t="n">
        <v>41</v>
      </c>
      <c r="B49">
        <f>MOD(A49^3+a*A49+b,prime)</f>
        <v/>
      </c>
      <c r="C49">
        <f>IF(MOD(B49,prime)=0,0,IF(SUMPRODUCT((MOD(ROW($A$1:$A$129)^2,prime)=MOD(B49,prime))*(ROW($A$1:$A$129)&lt;prime)*(MOD(ROW($A$1:$A$129),2)=1)*ROW($A$1:$A$129))=0,NA(),SUMPRODUCT((MOD(ROW($A$1:$A$129)^2,prime)=MOD(B49,prime))*(ROW($A$1:$A$129)&lt;prime)*(MOD(ROW($A$1:$A$129),2)=1)*ROW($A$1:$A$129))))</f>
        <v/>
      </c>
      <c r="D49">
        <f>IF(OR(NOT(ISNUMBER(C49)),C49=0),NA(),MOD(prime-C49,prime))</f>
        <v/>
      </c>
    </row>
    <row r="50">
      <c r="A50" t="n">
        <v>42</v>
      </c>
      <c r="B50">
        <f>MOD(A50^3+a*A50+b,prime)</f>
        <v/>
      </c>
      <c r="C50">
        <f>IF(MOD(B50,prime)=0,0,IF(SUMPRODUCT((MOD(ROW($A$1:$A$129)^2,prime)=MOD(B50,prime))*(ROW($A$1:$A$129)&lt;prime)*(MOD(ROW($A$1:$A$129),2)=1)*ROW($A$1:$A$129))=0,NA(),SUMPRODUCT((MOD(ROW($A$1:$A$129)^2,prime)=MOD(B50,prime))*(ROW($A$1:$A$129)&lt;prime)*(MOD(ROW($A$1:$A$129),2)=1)*ROW($A$1:$A$129))))</f>
        <v/>
      </c>
      <c r="D50">
        <f>IF(OR(NOT(ISNUMBER(C50)),C50=0),NA(),MOD(prime-C50,prime))</f>
        <v/>
      </c>
    </row>
    <row r="51">
      <c r="A51" t="n">
        <v>43</v>
      </c>
      <c r="B51">
        <f>MOD(A51^3+a*A51+b,prime)</f>
        <v/>
      </c>
      <c r="C51">
        <f>IF(MOD(B51,prime)=0,0,IF(SUMPRODUCT((MOD(ROW($A$1:$A$129)^2,prime)=MOD(B51,prime))*(ROW($A$1:$A$129)&lt;prime)*(MOD(ROW($A$1:$A$129),2)=1)*ROW($A$1:$A$129))=0,NA(),SUMPRODUCT((MOD(ROW($A$1:$A$129)^2,prime)=MOD(B51,prime))*(ROW($A$1:$A$129)&lt;prime)*(MOD(ROW($A$1:$A$129),2)=1)*ROW($A$1:$A$129))))</f>
        <v/>
      </c>
      <c r="D51">
        <f>IF(OR(NOT(ISNUMBER(C51)),C51=0),NA(),MOD(prime-C51,prime))</f>
        <v/>
      </c>
    </row>
    <row r="52">
      <c r="A52" t="n">
        <v>44</v>
      </c>
      <c r="B52">
        <f>MOD(A52^3+a*A52+b,prime)</f>
        <v/>
      </c>
      <c r="C52">
        <f>IF(MOD(B52,prime)=0,0,IF(SUMPRODUCT((MOD(ROW($A$1:$A$129)^2,prime)=MOD(B52,prime))*(ROW($A$1:$A$129)&lt;prime)*(MOD(ROW($A$1:$A$129),2)=1)*ROW($A$1:$A$129))=0,NA(),SUMPRODUCT((MOD(ROW($A$1:$A$129)^2,prime)=MOD(B52,prime))*(ROW($A$1:$A$129)&lt;prime)*(MOD(ROW($A$1:$A$129),2)=1)*ROW($A$1:$A$129))))</f>
        <v/>
      </c>
      <c r="D52">
        <f>IF(OR(NOT(ISNUMBER(C52)),C52=0),NA(),MOD(prime-C52,prime))</f>
        <v/>
      </c>
    </row>
    <row r="53">
      <c r="A53" t="n">
        <v>45</v>
      </c>
      <c r="B53">
        <f>MOD(A53^3+a*A53+b,prime)</f>
        <v/>
      </c>
      <c r="C53">
        <f>IF(MOD(B53,prime)=0,0,IF(SUMPRODUCT((MOD(ROW($A$1:$A$129)^2,prime)=MOD(B53,prime))*(ROW($A$1:$A$129)&lt;prime)*(MOD(ROW($A$1:$A$129),2)=1)*ROW($A$1:$A$129))=0,NA(),SUMPRODUCT((MOD(ROW($A$1:$A$129)^2,prime)=MOD(B53,prime))*(ROW($A$1:$A$129)&lt;prime)*(MOD(ROW($A$1:$A$129),2)=1)*ROW($A$1:$A$129))))</f>
        <v/>
      </c>
      <c r="D53">
        <f>IF(OR(NOT(ISNUMBER(C53)),C53=0),NA(),MOD(prime-C53,prime))</f>
        <v/>
      </c>
    </row>
    <row r="54">
      <c r="A54" t="n">
        <v>46</v>
      </c>
      <c r="B54">
        <f>MOD(A54^3+a*A54+b,prime)</f>
        <v/>
      </c>
      <c r="C54">
        <f>IF(MOD(B54,prime)=0,0,IF(SUMPRODUCT((MOD(ROW($A$1:$A$129)^2,prime)=MOD(B54,prime))*(ROW($A$1:$A$129)&lt;prime)*(MOD(ROW($A$1:$A$129),2)=1)*ROW($A$1:$A$129))=0,NA(),SUMPRODUCT((MOD(ROW($A$1:$A$129)^2,prime)=MOD(B54,prime))*(ROW($A$1:$A$129)&lt;prime)*(MOD(ROW($A$1:$A$129),2)=1)*ROW($A$1:$A$129))))</f>
        <v/>
      </c>
      <c r="D54">
        <f>IF(OR(NOT(ISNUMBER(C54)),C54=0),NA(),MOD(prime-C54,prime))</f>
        <v/>
      </c>
    </row>
    <row r="55">
      <c r="A55" t="n">
        <v>47</v>
      </c>
      <c r="B55">
        <f>MOD(A55^3+a*A55+b,prime)</f>
        <v/>
      </c>
      <c r="C55">
        <f>IF(MOD(B55,prime)=0,0,IF(SUMPRODUCT((MOD(ROW($A$1:$A$129)^2,prime)=MOD(B55,prime))*(ROW($A$1:$A$129)&lt;prime)*(MOD(ROW($A$1:$A$129),2)=1)*ROW($A$1:$A$129))=0,NA(),SUMPRODUCT((MOD(ROW($A$1:$A$129)^2,prime)=MOD(B55,prime))*(ROW($A$1:$A$129)&lt;prime)*(MOD(ROW($A$1:$A$129),2)=1)*ROW($A$1:$A$129))))</f>
        <v/>
      </c>
      <c r="D55">
        <f>IF(OR(NOT(ISNUMBER(C55)),C55=0),NA(),MOD(prime-C55,prime))</f>
        <v/>
      </c>
    </row>
    <row r="56">
      <c r="A56" t="n">
        <v>48</v>
      </c>
      <c r="B56">
        <f>MOD(A56^3+a*A56+b,prime)</f>
        <v/>
      </c>
      <c r="C56">
        <f>IF(MOD(B56,prime)=0,0,IF(SUMPRODUCT((MOD(ROW($A$1:$A$129)^2,prime)=MOD(B56,prime))*(ROW($A$1:$A$129)&lt;prime)*(MOD(ROW($A$1:$A$129),2)=1)*ROW($A$1:$A$129))=0,NA(),SUMPRODUCT((MOD(ROW($A$1:$A$129)^2,prime)=MOD(B56,prime))*(ROW($A$1:$A$129)&lt;prime)*(MOD(ROW($A$1:$A$129),2)=1)*ROW($A$1:$A$129))))</f>
        <v/>
      </c>
      <c r="D56">
        <f>IF(OR(NOT(ISNUMBER(C56)),C56=0),NA(),MOD(prime-C56,prime))</f>
        <v/>
      </c>
    </row>
    <row r="57">
      <c r="A57" t="n">
        <v>49</v>
      </c>
      <c r="B57">
        <f>MOD(A57^3+a*A57+b,prime)</f>
        <v/>
      </c>
      <c r="C57">
        <f>IF(MOD(B57,prime)=0,0,IF(SUMPRODUCT((MOD(ROW($A$1:$A$129)^2,prime)=MOD(B57,prime))*(ROW($A$1:$A$129)&lt;prime)*(MOD(ROW($A$1:$A$129),2)=1)*ROW($A$1:$A$129))=0,NA(),SUMPRODUCT((MOD(ROW($A$1:$A$129)^2,prime)=MOD(B57,prime))*(ROW($A$1:$A$129)&lt;prime)*(MOD(ROW($A$1:$A$129),2)=1)*ROW($A$1:$A$129))))</f>
        <v/>
      </c>
      <c r="D57">
        <f>IF(OR(NOT(ISNUMBER(C57)),C57=0),NA(),MOD(prime-C57,prime))</f>
        <v/>
      </c>
    </row>
    <row r="58">
      <c r="A58" t="n">
        <v>50</v>
      </c>
      <c r="B58">
        <f>MOD(A58^3+a*A58+b,prime)</f>
        <v/>
      </c>
      <c r="C58">
        <f>IF(MOD(B58,prime)=0,0,IF(SUMPRODUCT((MOD(ROW($A$1:$A$129)^2,prime)=MOD(B58,prime))*(ROW($A$1:$A$129)&lt;prime)*(MOD(ROW($A$1:$A$129),2)=1)*ROW($A$1:$A$129))=0,NA(),SUMPRODUCT((MOD(ROW($A$1:$A$129)^2,prime)=MOD(B58,prime))*(ROW($A$1:$A$129)&lt;prime)*(MOD(ROW($A$1:$A$129),2)=1)*ROW($A$1:$A$129))))</f>
        <v/>
      </c>
      <c r="D58">
        <f>IF(OR(NOT(ISNUMBER(C58)),C58=0),NA(),MOD(prime-C58,prime))</f>
        <v/>
      </c>
    </row>
    <row r="59">
      <c r="A59" t="n">
        <v>51</v>
      </c>
      <c r="B59">
        <f>MOD(A59^3+a*A59+b,prime)</f>
        <v/>
      </c>
      <c r="C59">
        <f>IF(MOD(B59,prime)=0,0,IF(SUMPRODUCT((MOD(ROW($A$1:$A$129)^2,prime)=MOD(B59,prime))*(ROW($A$1:$A$129)&lt;prime)*(MOD(ROW($A$1:$A$129),2)=1)*ROW($A$1:$A$129))=0,NA(),SUMPRODUCT((MOD(ROW($A$1:$A$129)^2,prime)=MOD(B59,prime))*(ROW($A$1:$A$129)&lt;prime)*(MOD(ROW($A$1:$A$129),2)=1)*ROW($A$1:$A$129))))</f>
        <v/>
      </c>
      <c r="D59">
        <f>IF(OR(NOT(ISNUMBER(C59)),C59=0),NA(),MOD(prime-C59,prime))</f>
        <v/>
      </c>
    </row>
    <row r="60">
      <c r="A60" t="n">
        <v>52</v>
      </c>
      <c r="B60">
        <f>MOD(A60^3+a*A60+b,prime)</f>
        <v/>
      </c>
      <c r="C60">
        <f>IF(MOD(B60,prime)=0,0,IF(SUMPRODUCT((MOD(ROW($A$1:$A$129)^2,prime)=MOD(B60,prime))*(ROW($A$1:$A$129)&lt;prime)*(MOD(ROW($A$1:$A$129),2)=1)*ROW($A$1:$A$129))=0,NA(),SUMPRODUCT((MOD(ROW($A$1:$A$129)^2,prime)=MOD(B60,prime))*(ROW($A$1:$A$129)&lt;prime)*(MOD(ROW($A$1:$A$129),2)=1)*ROW($A$1:$A$129))))</f>
        <v/>
      </c>
      <c r="D60">
        <f>IF(OR(NOT(ISNUMBER(C60)),C60=0),NA(),MOD(prime-C60,prime))</f>
        <v/>
      </c>
    </row>
    <row r="61">
      <c r="A61" t="n">
        <v>53</v>
      </c>
      <c r="B61">
        <f>MOD(A61^3+a*A61+b,prime)</f>
        <v/>
      </c>
      <c r="C61">
        <f>IF(MOD(B61,prime)=0,0,IF(SUMPRODUCT((MOD(ROW($A$1:$A$129)^2,prime)=MOD(B61,prime))*(ROW($A$1:$A$129)&lt;prime)*(MOD(ROW($A$1:$A$129),2)=1)*ROW($A$1:$A$129))=0,NA(),SUMPRODUCT((MOD(ROW($A$1:$A$129)^2,prime)=MOD(B61,prime))*(ROW($A$1:$A$129)&lt;prime)*(MOD(ROW($A$1:$A$129),2)=1)*ROW($A$1:$A$129))))</f>
        <v/>
      </c>
      <c r="D61">
        <f>IF(OR(NOT(ISNUMBER(C61)),C61=0),NA(),MOD(prime-C61,prime))</f>
        <v/>
      </c>
    </row>
    <row r="62">
      <c r="A62" t="n">
        <v>54</v>
      </c>
      <c r="B62">
        <f>MOD(A62^3+a*A62+b,prime)</f>
        <v/>
      </c>
      <c r="C62">
        <f>IF(MOD(B62,prime)=0,0,IF(SUMPRODUCT((MOD(ROW($A$1:$A$129)^2,prime)=MOD(B62,prime))*(ROW($A$1:$A$129)&lt;prime)*(MOD(ROW($A$1:$A$129),2)=1)*ROW($A$1:$A$129))=0,NA(),SUMPRODUCT((MOD(ROW($A$1:$A$129)^2,prime)=MOD(B62,prime))*(ROW($A$1:$A$129)&lt;prime)*(MOD(ROW($A$1:$A$129),2)=1)*ROW($A$1:$A$129))))</f>
        <v/>
      </c>
      <c r="D62">
        <f>IF(OR(NOT(ISNUMBER(C62)),C62=0),NA(),MOD(prime-C62,prime))</f>
        <v/>
      </c>
    </row>
    <row r="63">
      <c r="A63" t="n">
        <v>55</v>
      </c>
      <c r="B63">
        <f>MOD(A63^3+a*A63+b,prime)</f>
        <v/>
      </c>
      <c r="C63">
        <f>IF(MOD(B63,prime)=0,0,IF(SUMPRODUCT((MOD(ROW($A$1:$A$129)^2,prime)=MOD(B63,prime))*(ROW($A$1:$A$129)&lt;prime)*(MOD(ROW($A$1:$A$129),2)=1)*ROW($A$1:$A$129))=0,NA(),SUMPRODUCT((MOD(ROW($A$1:$A$129)^2,prime)=MOD(B63,prime))*(ROW($A$1:$A$129)&lt;prime)*(MOD(ROW($A$1:$A$129),2)=1)*ROW($A$1:$A$129))))</f>
        <v/>
      </c>
      <c r="D63">
        <f>IF(OR(NOT(ISNUMBER(C63)),C63=0),NA(),MOD(prime-C63,prime))</f>
        <v/>
      </c>
    </row>
    <row r="64">
      <c r="A64" t="n">
        <v>56</v>
      </c>
      <c r="B64">
        <f>MOD(A64^3+a*A64+b,prime)</f>
        <v/>
      </c>
      <c r="C64">
        <f>IF(MOD(B64,prime)=0,0,IF(SUMPRODUCT((MOD(ROW($A$1:$A$129)^2,prime)=MOD(B64,prime))*(ROW($A$1:$A$129)&lt;prime)*(MOD(ROW($A$1:$A$129),2)=1)*ROW($A$1:$A$129))=0,NA(),SUMPRODUCT((MOD(ROW($A$1:$A$129)^2,prime)=MOD(B64,prime))*(ROW($A$1:$A$129)&lt;prime)*(MOD(ROW($A$1:$A$129),2)=1)*ROW($A$1:$A$129))))</f>
        <v/>
      </c>
      <c r="D64">
        <f>IF(OR(NOT(ISNUMBER(C64)),C64=0),NA(),MOD(prime-C64,prime))</f>
        <v/>
      </c>
    </row>
    <row r="65">
      <c r="A65" t="n">
        <v>57</v>
      </c>
      <c r="B65">
        <f>MOD(A65^3+a*A65+b,prime)</f>
        <v/>
      </c>
      <c r="C65">
        <f>IF(MOD(B65,prime)=0,0,IF(SUMPRODUCT((MOD(ROW($A$1:$A$129)^2,prime)=MOD(B65,prime))*(ROW($A$1:$A$129)&lt;prime)*(MOD(ROW($A$1:$A$129),2)=1)*ROW($A$1:$A$129))=0,NA(),SUMPRODUCT((MOD(ROW($A$1:$A$129)^2,prime)=MOD(B65,prime))*(ROW($A$1:$A$129)&lt;prime)*(MOD(ROW($A$1:$A$129),2)=1)*ROW($A$1:$A$129))))</f>
        <v/>
      </c>
      <c r="D65">
        <f>IF(OR(NOT(ISNUMBER(C65)),C65=0),NA(),MOD(prime-C65,prime))</f>
        <v/>
      </c>
    </row>
    <row r="66">
      <c r="A66" t="n">
        <v>58</v>
      </c>
      <c r="B66">
        <f>MOD(A66^3+a*A66+b,prime)</f>
        <v/>
      </c>
      <c r="C66">
        <f>IF(MOD(B66,prime)=0,0,IF(SUMPRODUCT((MOD(ROW($A$1:$A$129)^2,prime)=MOD(B66,prime))*(ROW($A$1:$A$129)&lt;prime)*(MOD(ROW($A$1:$A$129),2)=1)*ROW($A$1:$A$129))=0,NA(),SUMPRODUCT((MOD(ROW($A$1:$A$129)^2,prime)=MOD(B66,prime))*(ROW($A$1:$A$129)&lt;prime)*(MOD(ROW($A$1:$A$129),2)=1)*ROW($A$1:$A$129))))</f>
        <v/>
      </c>
      <c r="D66">
        <f>IF(OR(NOT(ISNUMBER(C66)),C66=0),NA(),MOD(prime-C66,prime))</f>
        <v/>
      </c>
    </row>
    <row r="67">
      <c r="A67" t="n">
        <v>59</v>
      </c>
      <c r="B67">
        <f>MOD(A67^3+a*A67+b,prime)</f>
        <v/>
      </c>
      <c r="C67">
        <f>IF(MOD(B67,prime)=0,0,IF(SUMPRODUCT((MOD(ROW($A$1:$A$129)^2,prime)=MOD(B67,prime))*(ROW($A$1:$A$129)&lt;prime)*(MOD(ROW($A$1:$A$129),2)=1)*ROW($A$1:$A$129))=0,NA(),SUMPRODUCT((MOD(ROW($A$1:$A$129)^2,prime)=MOD(B67,prime))*(ROW($A$1:$A$129)&lt;prime)*(MOD(ROW($A$1:$A$129),2)=1)*ROW($A$1:$A$129))))</f>
        <v/>
      </c>
      <c r="D67">
        <f>IF(OR(NOT(ISNUMBER(C67)),C67=0),NA(),MOD(prime-C67,prime))</f>
        <v/>
      </c>
    </row>
    <row r="68">
      <c r="A68" t="n">
        <v>60</v>
      </c>
      <c r="B68">
        <f>MOD(A68^3+a*A68+b,prime)</f>
        <v/>
      </c>
      <c r="C68">
        <f>IF(MOD(B68,prime)=0,0,IF(SUMPRODUCT((MOD(ROW($A$1:$A$129)^2,prime)=MOD(B68,prime))*(ROW($A$1:$A$129)&lt;prime)*(MOD(ROW($A$1:$A$129),2)=1)*ROW($A$1:$A$129))=0,NA(),SUMPRODUCT((MOD(ROW($A$1:$A$129)^2,prime)=MOD(B68,prime))*(ROW($A$1:$A$129)&lt;prime)*(MOD(ROW($A$1:$A$129),2)=1)*ROW($A$1:$A$129))))</f>
        <v/>
      </c>
      <c r="D68">
        <f>IF(OR(NOT(ISNUMBER(C68)),C68=0),NA(),MOD(prime-C68,prime))</f>
        <v/>
      </c>
    </row>
    <row r="69">
      <c r="A69" t="n">
        <v>61</v>
      </c>
      <c r="B69">
        <f>MOD(A69^3+a*A69+b,prime)</f>
        <v/>
      </c>
      <c r="C69">
        <f>IF(MOD(B69,prime)=0,0,IF(SUMPRODUCT((MOD(ROW($A$1:$A$129)^2,prime)=MOD(B69,prime))*(ROW($A$1:$A$129)&lt;prime)*(MOD(ROW($A$1:$A$129),2)=1)*ROW($A$1:$A$129))=0,NA(),SUMPRODUCT((MOD(ROW($A$1:$A$129)^2,prime)=MOD(B69,prime))*(ROW($A$1:$A$129)&lt;prime)*(MOD(ROW($A$1:$A$129),2)=1)*ROW($A$1:$A$129))))</f>
        <v/>
      </c>
      <c r="D69">
        <f>IF(OR(NOT(ISNUMBER(C69)),C69=0),NA(),MOD(prime-C69,prime))</f>
        <v/>
      </c>
    </row>
    <row r="70">
      <c r="A70" t="n">
        <v>62</v>
      </c>
      <c r="B70">
        <f>MOD(A70^3+a*A70+b,prime)</f>
        <v/>
      </c>
      <c r="C70">
        <f>IF(MOD(B70,prime)=0,0,IF(SUMPRODUCT((MOD(ROW($A$1:$A$129)^2,prime)=MOD(B70,prime))*(ROW($A$1:$A$129)&lt;prime)*(MOD(ROW($A$1:$A$129),2)=1)*ROW($A$1:$A$129))=0,NA(),SUMPRODUCT((MOD(ROW($A$1:$A$129)^2,prime)=MOD(B70,prime))*(ROW($A$1:$A$129)&lt;prime)*(MOD(ROW($A$1:$A$129),2)=1)*ROW($A$1:$A$129))))</f>
        <v/>
      </c>
      <c r="D70">
        <f>IF(OR(NOT(ISNUMBER(C70)),C70=0),NA(),MOD(prime-C70,prime))</f>
        <v/>
      </c>
    </row>
    <row r="71">
      <c r="A71" t="n">
        <v>63</v>
      </c>
      <c r="B71">
        <f>MOD(A71^3+a*A71+b,prime)</f>
        <v/>
      </c>
      <c r="C71">
        <f>IF(MOD(B71,prime)=0,0,IF(SUMPRODUCT((MOD(ROW($A$1:$A$129)^2,prime)=MOD(B71,prime))*(ROW($A$1:$A$129)&lt;prime)*(MOD(ROW($A$1:$A$129),2)=1)*ROW($A$1:$A$129))=0,NA(),SUMPRODUCT((MOD(ROW($A$1:$A$129)^2,prime)=MOD(B71,prime))*(ROW($A$1:$A$129)&lt;prime)*(MOD(ROW($A$1:$A$129),2)=1)*ROW($A$1:$A$129))))</f>
        <v/>
      </c>
      <c r="D71">
        <f>IF(OR(NOT(ISNUMBER(C71)),C71=0),NA(),MOD(prime-C71,prime))</f>
        <v/>
      </c>
    </row>
    <row r="72">
      <c r="A72" t="n">
        <v>64</v>
      </c>
      <c r="B72">
        <f>MOD(A72^3+a*A72+b,prime)</f>
        <v/>
      </c>
      <c r="C72">
        <f>IF(MOD(B72,prime)=0,0,IF(SUMPRODUCT((MOD(ROW($A$1:$A$129)^2,prime)=MOD(B72,prime))*(ROW($A$1:$A$129)&lt;prime)*(MOD(ROW($A$1:$A$129),2)=1)*ROW($A$1:$A$129))=0,NA(),SUMPRODUCT((MOD(ROW($A$1:$A$129)^2,prime)=MOD(B72,prime))*(ROW($A$1:$A$129)&lt;prime)*(MOD(ROW($A$1:$A$129),2)=1)*ROW($A$1:$A$129))))</f>
        <v/>
      </c>
      <c r="D72">
        <f>IF(OR(NOT(ISNUMBER(C72)),C72=0),NA(),MOD(prime-C72,prime))</f>
        <v/>
      </c>
    </row>
    <row r="73">
      <c r="A73" t="n">
        <v>65</v>
      </c>
      <c r="B73">
        <f>MOD(A73^3+a*A73+b,prime)</f>
        <v/>
      </c>
      <c r="C73">
        <f>IF(MOD(B73,prime)=0,0,IF(SUMPRODUCT((MOD(ROW($A$1:$A$129)^2,prime)=MOD(B73,prime))*(ROW($A$1:$A$129)&lt;prime)*(MOD(ROW($A$1:$A$129),2)=1)*ROW($A$1:$A$129))=0,NA(),SUMPRODUCT((MOD(ROW($A$1:$A$129)^2,prime)=MOD(B73,prime))*(ROW($A$1:$A$129)&lt;prime)*(MOD(ROW($A$1:$A$129),2)=1)*ROW($A$1:$A$129))))</f>
        <v/>
      </c>
      <c r="D73">
        <f>IF(OR(NOT(ISNUMBER(C73)),C73=0),NA(),MOD(prime-C73,prime))</f>
        <v/>
      </c>
    </row>
    <row r="74">
      <c r="A74" t="n">
        <v>66</v>
      </c>
      <c r="B74">
        <f>MOD(A74^3+a*A74+b,prime)</f>
        <v/>
      </c>
      <c r="C74">
        <f>IF(MOD(B74,prime)=0,0,IF(SUMPRODUCT((MOD(ROW($A$1:$A$129)^2,prime)=MOD(B74,prime))*(ROW($A$1:$A$129)&lt;prime)*(MOD(ROW($A$1:$A$129),2)=1)*ROW($A$1:$A$129))=0,NA(),SUMPRODUCT((MOD(ROW($A$1:$A$129)^2,prime)=MOD(B74,prime))*(ROW($A$1:$A$129)&lt;prime)*(MOD(ROW($A$1:$A$129),2)=1)*ROW($A$1:$A$129))))</f>
        <v/>
      </c>
      <c r="D74">
        <f>IF(OR(NOT(ISNUMBER(C74)),C74=0),NA(),MOD(prime-C74,prime))</f>
        <v/>
      </c>
    </row>
    <row r="75">
      <c r="A75" t="n">
        <v>67</v>
      </c>
      <c r="B75">
        <f>MOD(A75^3+a*A75+b,prime)</f>
        <v/>
      </c>
      <c r="C75">
        <f>IF(MOD(B75,prime)=0,0,IF(SUMPRODUCT((MOD(ROW($A$1:$A$129)^2,prime)=MOD(B75,prime))*(ROW($A$1:$A$129)&lt;prime)*(MOD(ROW($A$1:$A$129),2)=1)*ROW($A$1:$A$129))=0,NA(),SUMPRODUCT((MOD(ROW($A$1:$A$129)^2,prime)=MOD(B75,prime))*(ROW($A$1:$A$129)&lt;prime)*(MOD(ROW($A$1:$A$129),2)=1)*ROW($A$1:$A$129))))</f>
        <v/>
      </c>
      <c r="D75">
        <f>IF(OR(NOT(ISNUMBER(C75)),C75=0),NA(),MOD(prime-C75,prime))</f>
        <v/>
      </c>
    </row>
    <row r="76">
      <c r="A76" t="n">
        <v>68</v>
      </c>
      <c r="B76">
        <f>MOD(A76^3+a*A76+b,prime)</f>
        <v/>
      </c>
      <c r="C76">
        <f>IF(MOD(B76,prime)=0,0,IF(SUMPRODUCT((MOD(ROW($A$1:$A$129)^2,prime)=MOD(B76,prime))*(ROW($A$1:$A$129)&lt;prime)*(MOD(ROW($A$1:$A$129),2)=1)*ROW($A$1:$A$129))=0,NA(),SUMPRODUCT((MOD(ROW($A$1:$A$129)^2,prime)=MOD(B76,prime))*(ROW($A$1:$A$129)&lt;prime)*(MOD(ROW($A$1:$A$129),2)=1)*ROW($A$1:$A$129))))</f>
        <v/>
      </c>
      <c r="D76">
        <f>IF(OR(NOT(ISNUMBER(C76)),C76=0),NA(),MOD(prime-C76,prime))</f>
        <v/>
      </c>
    </row>
    <row r="77">
      <c r="A77" t="n">
        <v>69</v>
      </c>
      <c r="B77">
        <f>MOD(A77^3+a*A77+b,prime)</f>
        <v/>
      </c>
      <c r="C77">
        <f>IF(MOD(B77,prime)=0,0,IF(SUMPRODUCT((MOD(ROW($A$1:$A$129)^2,prime)=MOD(B77,prime))*(ROW($A$1:$A$129)&lt;prime)*(MOD(ROW($A$1:$A$129),2)=1)*ROW($A$1:$A$129))=0,NA(),SUMPRODUCT((MOD(ROW($A$1:$A$129)^2,prime)=MOD(B77,prime))*(ROW($A$1:$A$129)&lt;prime)*(MOD(ROW($A$1:$A$129),2)=1)*ROW($A$1:$A$129))))</f>
        <v/>
      </c>
      <c r="D77">
        <f>IF(OR(NOT(ISNUMBER(C77)),C77=0),NA(),MOD(prime-C77,prime))</f>
        <v/>
      </c>
    </row>
    <row r="78">
      <c r="A78" t="n">
        <v>70</v>
      </c>
      <c r="B78">
        <f>MOD(A78^3+a*A78+b,prime)</f>
        <v/>
      </c>
      <c r="C78">
        <f>IF(MOD(B78,prime)=0,0,IF(SUMPRODUCT((MOD(ROW($A$1:$A$129)^2,prime)=MOD(B78,prime))*(ROW($A$1:$A$129)&lt;prime)*(MOD(ROW($A$1:$A$129),2)=1)*ROW($A$1:$A$129))=0,NA(),SUMPRODUCT((MOD(ROW($A$1:$A$129)^2,prime)=MOD(B78,prime))*(ROW($A$1:$A$129)&lt;prime)*(MOD(ROW($A$1:$A$129),2)=1)*ROW($A$1:$A$129))))</f>
        <v/>
      </c>
      <c r="D78">
        <f>IF(OR(NOT(ISNUMBER(C78)),C78=0),NA(),MOD(prime-C78,prime))</f>
        <v/>
      </c>
    </row>
    <row r="79">
      <c r="A79" t="n">
        <v>71</v>
      </c>
      <c r="B79">
        <f>MOD(A79^3+a*A79+b,prime)</f>
        <v/>
      </c>
      <c r="C79">
        <f>IF(MOD(B79,prime)=0,0,IF(SUMPRODUCT((MOD(ROW($A$1:$A$129)^2,prime)=MOD(B79,prime))*(ROW($A$1:$A$129)&lt;prime)*(MOD(ROW($A$1:$A$129),2)=1)*ROW($A$1:$A$129))=0,NA(),SUMPRODUCT((MOD(ROW($A$1:$A$129)^2,prime)=MOD(B79,prime))*(ROW($A$1:$A$129)&lt;prime)*(MOD(ROW($A$1:$A$129),2)=1)*ROW($A$1:$A$129))))</f>
        <v/>
      </c>
      <c r="D79">
        <f>IF(OR(NOT(ISNUMBER(C79)),C79=0),NA(),MOD(prime-C79,prime))</f>
        <v/>
      </c>
    </row>
    <row r="80">
      <c r="A80" t="n">
        <v>72</v>
      </c>
      <c r="B80">
        <f>MOD(A80^3+a*A80+b,prime)</f>
        <v/>
      </c>
      <c r="C80">
        <f>IF(MOD(B80,prime)=0,0,IF(SUMPRODUCT((MOD(ROW($A$1:$A$129)^2,prime)=MOD(B80,prime))*(ROW($A$1:$A$129)&lt;prime)*(MOD(ROW($A$1:$A$129),2)=1)*ROW($A$1:$A$129))=0,NA(),SUMPRODUCT((MOD(ROW($A$1:$A$129)^2,prime)=MOD(B80,prime))*(ROW($A$1:$A$129)&lt;prime)*(MOD(ROW($A$1:$A$129),2)=1)*ROW($A$1:$A$129))))</f>
        <v/>
      </c>
      <c r="D80">
        <f>IF(OR(NOT(ISNUMBER(C80)),C80=0),NA(),MOD(prime-C80,prime))</f>
        <v/>
      </c>
    </row>
    <row r="81">
      <c r="A81" t="n">
        <v>73</v>
      </c>
      <c r="B81">
        <f>MOD(A81^3+a*A81+b,prime)</f>
        <v/>
      </c>
      <c r="C81">
        <f>IF(MOD(B81,prime)=0,0,IF(SUMPRODUCT((MOD(ROW($A$1:$A$129)^2,prime)=MOD(B81,prime))*(ROW($A$1:$A$129)&lt;prime)*(MOD(ROW($A$1:$A$129),2)=1)*ROW($A$1:$A$129))=0,NA(),SUMPRODUCT((MOD(ROW($A$1:$A$129)^2,prime)=MOD(B81,prime))*(ROW($A$1:$A$129)&lt;prime)*(MOD(ROW($A$1:$A$129),2)=1)*ROW($A$1:$A$129))))</f>
        <v/>
      </c>
      <c r="D81">
        <f>IF(OR(NOT(ISNUMBER(C81)),C81=0),NA(),MOD(prime-C81,prime))</f>
        <v/>
      </c>
    </row>
    <row r="82">
      <c r="A82" t="n">
        <v>74</v>
      </c>
      <c r="B82">
        <f>MOD(A82^3+a*A82+b,prime)</f>
        <v/>
      </c>
      <c r="C82">
        <f>IF(MOD(B82,prime)=0,0,IF(SUMPRODUCT((MOD(ROW($A$1:$A$129)^2,prime)=MOD(B82,prime))*(ROW($A$1:$A$129)&lt;prime)*(MOD(ROW($A$1:$A$129),2)=1)*ROW($A$1:$A$129))=0,NA(),SUMPRODUCT((MOD(ROW($A$1:$A$129)^2,prime)=MOD(B82,prime))*(ROW($A$1:$A$129)&lt;prime)*(MOD(ROW($A$1:$A$129),2)=1)*ROW($A$1:$A$129))))</f>
        <v/>
      </c>
      <c r="D82">
        <f>IF(OR(NOT(ISNUMBER(C82)),C82=0),NA(),MOD(prime-C82,prime))</f>
        <v/>
      </c>
    </row>
    <row r="83">
      <c r="A83" t="n">
        <v>75</v>
      </c>
      <c r="B83">
        <f>MOD(A83^3+a*A83+b,prime)</f>
        <v/>
      </c>
      <c r="C83">
        <f>IF(MOD(B83,prime)=0,0,IF(SUMPRODUCT((MOD(ROW($A$1:$A$129)^2,prime)=MOD(B83,prime))*(ROW($A$1:$A$129)&lt;prime)*(MOD(ROW($A$1:$A$129),2)=1)*ROW($A$1:$A$129))=0,NA(),SUMPRODUCT((MOD(ROW($A$1:$A$129)^2,prime)=MOD(B83,prime))*(ROW($A$1:$A$129)&lt;prime)*(MOD(ROW($A$1:$A$129),2)=1)*ROW($A$1:$A$129))))</f>
        <v/>
      </c>
      <c r="D83">
        <f>IF(OR(NOT(ISNUMBER(C83)),C83=0),NA(),MOD(prime-C83,prime))</f>
        <v/>
      </c>
    </row>
    <row r="84">
      <c r="A84" t="n">
        <v>76</v>
      </c>
      <c r="B84">
        <f>MOD(A84^3+a*A84+b,prime)</f>
        <v/>
      </c>
      <c r="C84">
        <f>IF(MOD(B84,prime)=0,0,IF(SUMPRODUCT((MOD(ROW($A$1:$A$129)^2,prime)=MOD(B84,prime))*(ROW($A$1:$A$129)&lt;prime)*(MOD(ROW($A$1:$A$129),2)=1)*ROW($A$1:$A$129))=0,NA(),SUMPRODUCT((MOD(ROW($A$1:$A$129)^2,prime)=MOD(B84,prime))*(ROW($A$1:$A$129)&lt;prime)*(MOD(ROW($A$1:$A$129),2)=1)*ROW($A$1:$A$129))))</f>
        <v/>
      </c>
      <c r="D84">
        <f>IF(OR(NOT(ISNUMBER(C84)),C84=0),NA(),MOD(prime-C84,prime))</f>
        <v/>
      </c>
    </row>
    <row r="85">
      <c r="A85" t="n">
        <v>77</v>
      </c>
      <c r="B85">
        <f>MOD(A85^3+a*A85+b,prime)</f>
        <v/>
      </c>
      <c r="C85">
        <f>IF(MOD(B85,prime)=0,0,IF(SUMPRODUCT((MOD(ROW($A$1:$A$129)^2,prime)=MOD(B85,prime))*(ROW($A$1:$A$129)&lt;prime)*(MOD(ROW($A$1:$A$129),2)=1)*ROW($A$1:$A$129))=0,NA(),SUMPRODUCT((MOD(ROW($A$1:$A$129)^2,prime)=MOD(B85,prime))*(ROW($A$1:$A$129)&lt;prime)*(MOD(ROW($A$1:$A$129),2)=1)*ROW($A$1:$A$129))))</f>
        <v/>
      </c>
      <c r="D85">
        <f>IF(OR(NOT(ISNUMBER(C85)),C85=0),NA(),MOD(prime-C85,prime))</f>
        <v/>
      </c>
    </row>
    <row r="86">
      <c r="A86" t="n">
        <v>78</v>
      </c>
      <c r="B86">
        <f>MOD(A86^3+a*A86+b,prime)</f>
        <v/>
      </c>
      <c r="C86">
        <f>IF(MOD(B86,prime)=0,0,IF(SUMPRODUCT((MOD(ROW($A$1:$A$129)^2,prime)=MOD(B86,prime))*(ROW($A$1:$A$129)&lt;prime)*(MOD(ROW($A$1:$A$129),2)=1)*ROW($A$1:$A$129))=0,NA(),SUMPRODUCT((MOD(ROW($A$1:$A$129)^2,prime)=MOD(B86,prime))*(ROW($A$1:$A$129)&lt;prime)*(MOD(ROW($A$1:$A$129),2)=1)*ROW($A$1:$A$129))))</f>
        <v/>
      </c>
      <c r="D86">
        <f>IF(OR(NOT(ISNUMBER(C86)),C86=0),NA(),MOD(prime-C86,prime))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0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1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COUNT(B6:B48)+1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IF(SUMPRODUCT((MOD(MOD(H6,prime)*ROW($A$1:$A$129),prime)=1)*(ROW($A$1:$A$129)&lt;prime)*ROW($A$1:$A$129))=0,NA(),SUMPRODUCT((MOD(MOD(H6,prime)*ROW($A$1:$A$129),prime)=1)*(ROW($A$1:$A$129)&lt;prime)*ROW($A$1:$A$129)))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IF(SUMPRODUCT((MOD(MOD(H7,prime)*ROW($A$1:$A$129),prime)=1)*(ROW($A$1:$A$129)&lt;prime)*ROW($A$1:$A$129))=0,NA(),SUMPRODUCT((MOD(MOD(H7,prime)*ROW($A$1:$A$129),prime)=1)*(ROW($A$1:$A$129)&lt;prime)*ROW($A$1:$A$129)))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IF(SUMPRODUCT((MOD(MOD(H8,prime)*ROW($A$1:$A$129),prime)=1)*(ROW($A$1:$A$129)&lt;prime)*ROW($A$1:$A$129))=0,NA(),SUMPRODUCT((MOD(MOD(H8,prime)*ROW($A$1:$A$129),prime)=1)*(ROW($A$1:$A$129)&lt;prime)*ROW($A$1:$A$129)))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IF(SUMPRODUCT((MOD(MOD(H9,prime)*ROW($A$1:$A$129),prime)=1)*(ROW($A$1:$A$129)&lt;prime)*ROW($A$1:$A$129))=0,NA(),SUMPRODUCT((MOD(MOD(H9,prime)*ROW($A$1:$A$129),prime)=1)*(ROW($A$1:$A$129)&lt;prime)*ROW($A$1:$A$129)))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IF(SUMPRODUCT((MOD(MOD(H10,prime)*ROW($A$1:$A$129),prime)=1)*(ROW($A$1:$A$129)&lt;prime)*ROW($A$1:$A$129))=0,NA(),SUMPRODUCT((MOD(MOD(H10,prime)*ROW($A$1:$A$129),prime)=1)*(ROW($A$1:$A$129)&lt;prime)*ROW($A$1:$A$129)))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IF(SUMPRODUCT((MOD(MOD(H11,prime)*ROW($A$1:$A$129),prime)=1)*(ROW($A$1:$A$129)&lt;prime)*ROW($A$1:$A$129))=0,NA(),SUMPRODUCT((MOD(MOD(H11,prime)*ROW($A$1:$A$129),prime)=1)*(ROW($A$1:$A$129)&lt;prime)*ROW($A$1:$A$129)))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IF(SUMPRODUCT((MOD(MOD(H12,prime)*ROW($A$1:$A$129),prime)=1)*(ROW($A$1:$A$129)&lt;prime)*ROW($A$1:$A$129))=0,NA(),SUMPRODUCT((MOD(MOD(H12,prime)*ROW($A$1:$A$129),prime)=1)*(ROW($A$1:$A$129)&lt;prime)*ROW($A$1:$A$129)))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IF(SUMPRODUCT((MOD(MOD(H13,prime)*ROW($A$1:$A$129),prime)=1)*(ROW($A$1:$A$129)&lt;prime)*ROW($A$1:$A$129))=0,NA(),SUMPRODUCT((MOD(MOD(H13,prime)*ROW($A$1:$A$129),prime)=1)*(ROW($A$1:$A$129)&lt;prime)*ROW($A$1:$A$129)))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IF(SUMPRODUCT((MOD(MOD(H14,prime)*ROW($A$1:$A$129),prime)=1)*(ROW($A$1:$A$129)&lt;prime)*ROW($A$1:$A$129))=0,NA(),SUMPRODUCT((MOD(MOD(H14,prime)*ROW($A$1:$A$129),prime)=1)*(ROW($A$1:$A$129)&lt;prime)*ROW($A$1:$A$129)))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IF(SUMPRODUCT((MOD(MOD(H15,prime)*ROW($A$1:$A$129),prime)=1)*(ROW($A$1:$A$129)&lt;prime)*ROW($A$1:$A$129))=0,NA(),SUMPRODUCT((MOD(MOD(H15,prime)*ROW($A$1:$A$129),prime)=1)*(ROW($A$1:$A$129)&lt;prime)*ROW($A$1:$A$129)))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IF(SUMPRODUCT((MOD(MOD(H16,prime)*ROW($A$1:$A$129),prime)=1)*(ROW($A$1:$A$129)&lt;prime)*ROW($A$1:$A$129))=0,NA(),SUMPRODUCT((MOD(MOD(H16,prime)*ROW($A$1:$A$129),prime)=1)*(ROW($A$1:$A$129)&lt;prime)*ROW($A$1:$A$129)))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IF(SUMPRODUCT((MOD(MOD(H17,prime)*ROW($A$1:$A$129),prime)=1)*(ROW($A$1:$A$129)&lt;prime)*ROW($A$1:$A$129))=0,NA(),SUMPRODUCT((MOD(MOD(H17,prime)*ROW($A$1:$A$129),prime)=1)*(ROW($A$1:$A$129)&lt;prime)*ROW($A$1:$A$129)))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  <c r="G18">
        <f>MOD(Gy-C18,prime)</f>
        <v/>
      </c>
      <c r="H18">
        <f>MOD(Gx-B18,prime)</f>
        <v/>
      </c>
      <c r="I18">
        <f>IF(SUMPRODUCT((MOD(MOD(H18,prime)*ROW($A$1:$A$129),prime)=1)*(ROW($A$1:$A$129)&lt;prime)*ROW($A$1:$A$129))=0,NA(),SUMPRODUCT((MOD(MOD(H18,prime)*ROW($A$1:$A$129),prime)=1)*(ROW($A$1:$A$129)&lt;prime)*ROW($A$1:$A$129)))</f>
        <v/>
      </c>
      <c r="J18">
        <f>MOD(G18*I18,prime)</f>
        <v/>
      </c>
    </row>
    <row r="19">
      <c r="A19" t="n">
        <v>14</v>
      </c>
      <c r="B19">
        <f>MOD(J18*J18-B18-Gx,prime)</f>
        <v/>
      </c>
      <c r="C19">
        <f>MOD(J18*(Gx-B19)-Gy,prime)</f>
        <v/>
      </c>
      <c r="D19">
        <f>MOD(C19*C19,prime)</f>
        <v/>
      </c>
      <c r="E19">
        <f>MOD(B19^3+a*B19+b,prime)</f>
        <v/>
      </c>
      <c r="G19">
        <f>MOD(Gy-C19,prime)</f>
        <v/>
      </c>
      <c r="H19">
        <f>MOD(Gx-B19,prime)</f>
        <v/>
      </c>
      <c r="I19">
        <f>IF(SUMPRODUCT((MOD(MOD(H19,prime)*ROW($A$1:$A$129),prime)=1)*(ROW($A$1:$A$129)&lt;prime)*ROW($A$1:$A$129))=0,NA(),SUMPRODUCT((MOD(MOD(H19,prime)*ROW($A$1:$A$129),prime)=1)*(ROW($A$1:$A$129)&lt;prime)*ROW($A$1:$A$129)))</f>
        <v/>
      </c>
      <c r="J19">
        <f>MOD(G19*I19,prime)</f>
        <v/>
      </c>
    </row>
    <row r="20">
      <c r="A20" t="n">
        <v>15</v>
      </c>
      <c r="B20">
        <f>MOD(J19*J19-B19-Gx,prime)</f>
        <v/>
      </c>
      <c r="C20">
        <f>MOD(J19*(Gx-B20)-Gy,prime)</f>
        <v/>
      </c>
      <c r="D20">
        <f>MOD(C20*C20,prime)</f>
        <v/>
      </c>
      <c r="E20">
        <f>MOD(B20^3+a*B20+b,prime)</f>
        <v/>
      </c>
      <c r="G20">
        <f>MOD(Gy-C20,prime)</f>
        <v/>
      </c>
      <c r="H20">
        <f>MOD(Gx-B20,prime)</f>
        <v/>
      </c>
      <c r="I20">
        <f>IF(SUMPRODUCT((MOD(MOD(H20,prime)*ROW($A$1:$A$129),prime)=1)*(ROW($A$1:$A$129)&lt;prime)*ROW($A$1:$A$129))=0,NA(),SUMPRODUCT((MOD(MOD(H20,prime)*ROW($A$1:$A$129),prime)=1)*(ROW($A$1:$A$129)&lt;prime)*ROW($A$1:$A$129)))</f>
        <v/>
      </c>
      <c r="J20">
        <f>MOD(G20*I20,prime)</f>
        <v/>
      </c>
    </row>
    <row r="21">
      <c r="A21" t="n">
        <v>16</v>
      </c>
      <c r="B21">
        <f>MOD(J20*J20-B20-Gx,prime)</f>
        <v/>
      </c>
      <c r="C21">
        <f>MOD(J20*(Gx-B21)-Gy,prime)</f>
        <v/>
      </c>
      <c r="D21">
        <f>MOD(C21*C21,prime)</f>
        <v/>
      </c>
      <c r="E21">
        <f>MOD(B21^3+a*B21+b,prime)</f>
        <v/>
      </c>
      <c r="G21">
        <f>MOD(Gy-C21,prime)</f>
        <v/>
      </c>
      <c r="H21">
        <f>MOD(Gx-B21,prime)</f>
        <v/>
      </c>
      <c r="I21">
        <f>IF(SUMPRODUCT((MOD(MOD(H21,prime)*ROW($A$1:$A$129),prime)=1)*(ROW($A$1:$A$129)&lt;prime)*ROW($A$1:$A$129))=0,NA(),SUMPRODUCT((MOD(MOD(H21,prime)*ROW($A$1:$A$129),prime)=1)*(ROW($A$1:$A$129)&lt;prime)*ROW($A$1:$A$129)))</f>
        <v/>
      </c>
      <c r="J21">
        <f>MOD(G21*I21,prime)</f>
        <v/>
      </c>
    </row>
    <row r="22">
      <c r="A22" t="n">
        <v>17</v>
      </c>
      <c r="B22">
        <f>MOD(J21*J21-B21-Gx,prime)</f>
        <v/>
      </c>
      <c r="C22">
        <f>MOD(J21*(Gx-B22)-Gy,prime)</f>
        <v/>
      </c>
      <c r="D22">
        <f>MOD(C22*C22,prime)</f>
        <v/>
      </c>
      <c r="E22">
        <f>MOD(B22^3+a*B22+b,prime)</f>
        <v/>
      </c>
      <c r="G22">
        <f>MOD(Gy-C22,prime)</f>
        <v/>
      </c>
      <c r="H22">
        <f>MOD(Gx-B22,prime)</f>
        <v/>
      </c>
      <c r="I22">
        <f>IF(SUMPRODUCT((MOD(MOD(H22,prime)*ROW($A$1:$A$129),prime)=1)*(ROW($A$1:$A$129)&lt;prime)*ROW($A$1:$A$129))=0,NA(),SUMPRODUCT((MOD(MOD(H22,prime)*ROW($A$1:$A$129),prime)=1)*(ROW($A$1:$A$129)&lt;prime)*ROW($A$1:$A$129)))</f>
        <v/>
      </c>
      <c r="J22">
        <f>MOD(G22*I22,prime)</f>
        <v/>
      </c>
    </row>
    <row r="23">
      <c r="A23" t="n">
        <v>18</v>
      </c>
      <c r="B23">
        <f>MOD(J22*J22-B22-Gx,prime)</f>
        <v/>
      </c>
      <c r="C23">
        <f>MOD(J22*(Gx-B23)-Gy,prime)</f>
        <v/>
      </c>
      <c r="D23">
        <f>MOD(C23*C23,prime)</f>
        <v/>
      </c>
      <c r="E23">
        <f>MOD(B23^3+a*B23+b,prime)</f>
        <v/>
      </c>
      <c r="G23">
        <f>MOD(Gy-C23,prime)</f>
        <v/>
      </c>
      <c r="H23">
        <f>MOD(Gx-B23,prime)</f>
        <v/>
      </c>
      <c r="I23">
        <f>IF(SUMPRODUCT((MOD(MOD(H23,prime)*ROW($A$1:$A$129),prime)=1)*(ROW($A$1:$A$129)&lt;prime)*ROW($A$1:$A$129))=0,NA(),SUMPRODUCT((MOD(MOD(H23,prime)*ROW($A$1:$A$129),prime)=1)*(ROW($A$1:$A$129)&lt;prime)*ROW($A$1:$A$129)))</f>
        <v/>
      </c>
      <c r="J23">
        <f>MOD(G23*I23,prime)</f>
        <v/>
      </c>
    </row>
    <row r="24">
      <c r="A24" t="n">
        <v>19</v>
      </c>
      <c r="B24">
        <f>MOD(J23*J23-B23-Gx,prime)</f>
        <v/>
      </c>
      <c r="C24">
        <f>MOD(J23*(Gx-B24)-Gy,prime)</f>
        <v/>
      </c>
      <c r="D24">
        <f>MOD(C24*C24,prime)</f>
        <v/>
      </c>
      <c r="E24">
        <f>MOD(B24^3+a*B24+b,prime)</f>
        <v/>
      </c>
      <c r="G24">
        <f>MOD(Gy-C24,prime)</f>
        <v/>
      </c>
      <c r="H24">
        <f>MOD(Gx-B24,prime)</f>
        <v/>
      </c>
      <c r="I24">
        <f>IF(SUMPRODUCT((MOD(MOD(H24,prime)*ROW($A$1:$A$129),prime)=1)*(ROW($A$1:$A$129)&lt;prime)*ROW($A$1:$A$129))=0,NA(),SUMPRODUCT((MOD(MOD(H24,prime)*ROW($A$1:$A$129),prime)=1)*(ROW($A$1:$A$129)&lt;prime)*ROW($A$1:$A$129)))</f>
        <v/>
      </c>
      <c r="J24">
        <f>MOD(G24*I24,prime)</f>
        <v/>
      </c>
    </row>
    <row r="25">
      <c r="A25" t="n">
        <v>20</v>
      </c>
      <c r="B25">
        <f>MOD(J24*J24-B24-Gx,prime)</f>
        <v/>
      </c>
      <c r="C25">
        <f>MOD(J24*(Gx-B25)-Gy,prime)</f>
        <v/>
      </c>
      <c r="D25">
        <f>MOD(C25*C25,prime)</f>
        <v/>
      </c>
      <c r="E25">
        <f>MOD(B25^3+a*B25+b,prime)</f>
        <v/>
      </c>
      <c r="G25">
        <f>MOD(Gy-C25,prime)</f>
        <v/>
      </c>
      <c r="H25">
        <f>MOD(Gx-B25,prime)</f>
        <v/>
      </c>
      <c r="I25">
        <f>IF(SUMPRODUCT((MOD(MOD(H25,prime)*ROW($A$1:$A$129),prime)=1)*(ROW($A$1:$A$129)&lt;prime)*ROW($A$1:$A$129))=0,NA(),SUMPRODUCT((MOD(MOD(H25,prime)*ROW($A$1:$A$129),prime)=1)*(ROW($A$1:$A$129)&lt;prime)*ROW($A$1:$A$129)))</f>
        <v/>
      </c>
      <c r="J25">
        <f>MOD(G25*I25,prime)</f>
        <v/>
      </c>
    </row>
    <row r="26">
      <c r="A26" t="n">
        <v>21</v>
      </c>
      <c r="B26">
        <f>MOD(J25*J25-B25-Gx,prime)</f>
        <v/>
      </c>
      <c r="C26">
        <f>MOD(J25*(Gx-B26)-Gy,prime)</f>
        <v/>
      </c>
      <c r="D26">
        <f>MOD(C26*C26,prime)</f>
        <v/>
      </c>
      <c r="E26">
        <f>MOD(B26^3+a*B26+b,prime)</f>
        <v/>
      </c>
      <c r="G26">
        <f>MOD(Gy-C26,prime)</f>
        <v/>
      </c>
      <c r="H26">
        <f>MOD(Gx-B26,prime)</f>
        <v/>
      </c>
      <c r="I26">
        <f>IF(SUMPRODUCT((MOD(MOD(H26,prime)*ROW($A$1:$A$129),prime)=1)*(ROW($A$1:$A$129)&lt;prime)*ROW($A$1:$A$129))=0,NA(),SUMPRODUCT((MOD(MOD(H26,prime)*ROW($A$1:$A$129),prime)=1)*(ROW($A$1:$A$129)&lt;prime)*ROW($A$1:$A$129)))</f>
        <v/>
      </c>
      <c r="J26">
        <f>MOD(G26*I26,prime)</f>
        <v/>
      </c>
    </row>
    <row r="27">
      <c r="A27" t="n">
        <v>22</v>
      </c>
      <c r="B27">
        <f>MOD(J26*J26-B26-Gx,prime)</f>
        <v/>
      </c>
      <c r="C27">
        <f>MOD(J26*(Gx-B27)-Gy,prime)</f>
        <v/>
      </c>
      <c r="D27">
        <f>MOD(C27*C27,prime)</f>
        <v/>
      </c>
      <c r="E27">
        <f>MOD(B27^3+a*B27+b,prime)</f>
        <v/>
      </c>
      <c r="G27">
        <f>MOD(Gy-C27,prime)</f>
        <v/>
      </c>
      <c r="H27">
        <f>MOD(Gx-B27,prime)</f>
        <v/>
      </c>
      <c r="I27">
        <f>IF(SUMPRODUCT((MOD(MOD(H27,prime)*ROW($A$1:$A$129),prime)=1)*(ROW($A$1:$A$129)&lt;prime)*ROW($A$1:$A$129))=0,NA(),SUMPRODUCT((MOD(MOD(H27,prime)*ROW($A$1:$A$129),prime)=1)*(ROW($A$1:$A$129)&lt;prime)*ROW($A$1:$A$129)))</f>
        <v/>
      </c>
      <c r="J27">
        <f>MOD(G27*I27,prime)</f>
        <v/>
      </c>
    </row>
    <row r="28">
      <c r="A28" t="n">
        <v>23</v>
      </c>
      <c r="B28">
        <f>MOD(J27*J27-B27-Gx,prime)</f>
        <v/>
      </c>
      <c r="C28">
        <f>MOD(J27*(Gx-B28)-Gy,prime)</f>
        <v/>
      </c>
      <c r="D28">
        <f>MOD(C28*C28,prime)</f>
        <v/>
      </c>
      <c r="E28">
        <f>MOD(B28^3+a*B28+b,prime)</f>
        <v/>
      </c>
      <c r="G28">
        <f>MOD(Gy-C28,prime)</f>
        <v/>
      </c>
      <c r="H28">
        <f>MOD(Gx-B28,prime)</f>
        <v/>
      </c>
      <c r="I28">
        <f>IF(SUMPRODUCT((MOD(MOD(H28,prime)*ROW($A$1:$A$129),prime)=1)*(ROW($A$1:$A$129)&lt;prime)*ROW($A$1:$A$129))=0,NA(),SUMPRODUCT((MOD(MOD(H28,prime)*ROW($A$1:$A$129),prime)=1)*(ROW($A$1:$A$129)&lt;prime)*ROW($A$1:$A$129)))</f>
        <v/>
      </c>
      <c r="J28">
        <f>MOD(G28*I28,prime)</f>
        <v/>
      </c>
    </row>
    <row r="29">
      <c r="A29" t="n">
        <v>24</v>
      </c>
      <c r="B29">
        <f>MOD(J28*J28-B28-Gx,prime)</f>
        <v/>
      </c>
      <c r="C29">
        <f>MOD(J28*(Gx-B29)-Gy,prime)</f>
        <v/>
      </c>
      <c r="D29">
        <f>MOD(C29*C29,prime)</f>
        <v/>
      </c>
      <c r="E29">
        <f>MOD(B29^3+a*B29+b,prime)</f>
        <v/>
      </c>
      <c r="G29">
        <f>MOD(Gy-C29,prime)</f>
        <v/>
      </c>
      <c r="H29">
        <f>MOD(Gx-B29,prime)</f>
        <v/>
      </c>
      <c r="I29">
        <f>IF(SUMPRODUCT((MOD(MOD(H29,prime)*ROW($A$1:$A$129),prime)=1)*(ROW($A$1:$A$129)&lt;prime)*ROW($A$1:$A$129))=0,NA(),SUMPRODUCT((MOD(MOD(H29,prime)*ROW($A$1:$A$129),prime)=1)*(ROW($A$1:$A$129)&lt;prime)*ROW($A$1:$A$129)))</f>
        <v/>
      </c>
      <c r="J29">
        <f>MOD(G29*I29,prime)</f>
        <v/>
      </c>
    </row>
    <row r="30">
      <c r="A30" t="n">
        <v>25</v>
      </c>
      <c r="B30">
        <f>MOD(J29*J29-B29-Gx,prime)</f>
        <v/>
      </c>
      <c r="C30">
        <f>MOD(J29*(Gx-B30)-Gy,prime)</f>
        <v/>
      </c>
      <c r="D30">
        <f>MOD(C30*C30,prime)</f>
        <v/>
      </c>
      <c r="E30">
        <f>MOD(B30^3+a*B30+b,prime)</f>
        <v/>
      </c>
      <c r="G30">
        <f>MOD(Gy-C30,prime)</f>
        <v/>
      </c>
      <c r="H30">
        <f>MOD(Gx-B30,prime)</f>
        <v/>
      </c>
      <c r="I30">
        <f>IF(SUMPRODUCT((MOD(MOD(H30,prime)*ROW($A$1:$A$129),prime)=1)*(ROW($A$1:$A$129)&lt;prime)*ROW($A$1:$A$129))=0,NA(),SUMPRODUCT((MOD(MOD(H30,prime)*ROW($A$1:$A$129),prime)=1)*(ROW($A$1:$A$129)&lt;prime)*ROW($A$1:$A$129)))</f>
        <v/>
      </c>
      <c r="J30">
        <f>MOD(G30*I30,prime)</f>
        <v/>
      </c>
    </row>
    <row r="31">
      <c r="A31" t="n">
        <v>26</v>
      </c>
      <c r="B31">
        <f>MOD(J30*J30-B30-Gx,prime)</f>
        <v/>
      </c>
      <c r="C31">
        <f>MOD(J30*(Gx-B31)-Gy,prime)</f>
        <v/>
      </c>
      <c r="D31">
        <f>MOD(C31*C31,prime)</f>
        <v/>
      </c>
      <c r="E31">
        <f>MOD(B31^3+a*B31+b,prime)</f>
        <v/>
      </c>
      <c r="G31">
        <f>MOD(Gy-C31,prime)</f>
        <v/>
      </c>
      <c r="H31">
        <f>MOD(Gx-B31,prime)</f>
        <v/>
      </c>
      <c r="I31">
        <f>IF(SUMPRODUCT((MOD(MOD(H31,prime)*ROW($A$1:$A$129),prime)=1)*(ROW($A$1:$A$129)&lt;prime)*ROW($A$1:$A$129))=0,NA(),SUMPRODUCT((MOD(MOD(H31,prime)*ROW($A$1:$A$129),prime)=1)*(ROW($A$1:$A$129)&lt;prime)*ROW($A$1:$A$129)))</f>
        <v/>
      </c>
      <c r="J31">
        <f>MOD(G31*I31,prime)</f>
        <v/>
      </c>
    </row>
    <row r="32">
      <c r="A32" t="n">
        <v>27</v>
      </c>
      <c r="B32">
        <f>MOD(J31*J31-B31-Gx,prime)</f>
        <v/>
      </c>
      <c r="C32">
        <f>MOD(J31*(Gx-B32)-Gy,prime)</f>
        <v/>
      </c>
      <c r="D32">
        <f>MOD(C32*C32,prime)</f>
        <v/>
      </c>
      <c r="E32">
        <f>MOD(B32^3+a*B32+b,prime)</f>
        <v/>
      </c>
      <c r="G32">
        <f>MOD(Gy-C32,prime)</f>
        <v/>
      </c>
      <c r="H32">
        <f>MOD(Gx-B32,prime)</f>
        <v/>
      </c>
      <c r="I32">
        <f>IF(SUMPRODUCT((MOD(MOD(H32,prime)*ROW($A$1:$A$129),prime)=1)*(ROW($A$1:$A$129)&lt;prime)*ROW($A$1:$A$129))=0,NA(),SUMPRODUCT((MOD(MOD(H32,prime)*ROW($A$1:$A$129),prime)=1)*(ROW($A$1:$A$129)&lt;prime)*ROW($A$1:$A$129)))</f>
        <v/>
      </c>
      <c r="J32">
        <f>MOD(G32*I32,prime)</f>
        <v/>
      </c>
    </row>
    <row r="33">
      <c r="A33" t="n">
        <v>28</v>
      </c>
      <c r="B33">
        <f>MOD(J32*J32-B32-Gx,prime)</f>
        <v/>
      </c>
      <c r="C33">
        <f>MOD(J32*(Gx-B33)-Gy,prime)</f>
        <v/>
      </c>
      <c r="D33">
        <f>MOD(C33*C33,prime)</f>
        <v/>
      </c>
      <c r="E33">
        <f>MOD(B33^3+a*B33+b,prime)</f>
        <v/>
      </c>
      <c r="G33">
        <f>MOD(Gy-C33,prime)</f>
        <v/>
      </c>
      <c r="H33">
        <f>MOD(Gx-B33,prime)</f>
        <v/>
      </c>
      <c r="I33">
        <f>IF(SUMPRODUCT((MOD(MOD(H33,prime)*ROW($A$1:$A$129),prime)=1)*(ROW($A$1:$A$129)&lt;prime)*ROW($A$1:$A$129))=0,NA(),SUMPRODUCT((MOD(MOD(H33,prime)*ROW($A$1:$A$129),prime)=1)*(ROW($A$1:$A$129)&lt;prime)*ROW($A$1:$A$129)))</f>
        <v/>
      </c>
      <c r="J33">
        <f>MOD(G33*I33,prime)</f>
        <v/>
      </c>
    </row>
    <row r="34">
      <c r="A34" t="n">
        <v>29</v>
      </c>
      <c r="B34">
        <f>MOD(J33*J33-B33-Gx,prime)</f>
        <v/>
      </c>
      <c r="C34">
        <f>MOD(J33*(Gx-B34)-Gy,prime)</f>
        <v/>
      </c>
      <c r="D34">
        <f>MOD(C34*C34,prime)</f>
        <v/>
      </c>
      <c r="E34">
        <f>MOD(B34^3+a*B34+b,prime)</f>
        <v/>
      </c>
      <c r="G34">
        <f>MOD(Gy-C34,prime)</f>
        <v/>
      </c>
      <c r="H34">
        <f>MOD(Gx-B34,prime)</f>
        <v/>
      </c>
      <c r="I34">
        <f>IF(SUMPRODUCT((MOD(MOD(H34,prime)*ROW($A$1:$A$129),prime)=1)*(ROW($A$1:$A$129)&lt;prime)*ROW($A$1:$A$129))=0,NA(),SUMPRODUCT((MOD(MOD(H34,prime)*ROW($A$1:$A$129),prime)=1)*(ROW($A$1:$A$129)&lt;prime)*ROW($A$1:$A$129)))</f>
        <v/>
      </c>
      <c r="J34">
        <f>MOD(G34*I34,prime)</f>
        <v/>
      </c>
    </row>
    <row r="35">
      <c r="A35" t="n">
        <v>30</v>
      </c>
      <c r="B35">
        <f>MOD(J34*J34-B34-Gx,prime)</f>
        <v/>
      </c>
      <c r="C35">
        <f>MOD(J34*(Gx-B35)-Gy,prime)</f>
        <v/>
      </c>
      <c r="D35">
        <f>MOD(C35*C35,prime)</f>
        <v/>
      </c>
      <c r="E35">
        <f>MOD(B35^3+a*B35+b,prime)</f>
        <v/>
      </c>
      <c r="G35">
        <f>MOD(Gy-C35,prime)</f>
        <v/>
      </c>
      <c r="H35">
        <f>MOD(Gx-B35,prime)</f>
        <v/>
      </c>
      <c r="I35">
        <f>IF(SUMPRODUCT((MOD(MOD(H35,prime)*ROW($A$1:$A$129),prime)=1)*(ROW($A$1:$A$129)&lt;prime)*ROW($A$1:$A$129))=0,NA(),SUMPRODUCT((MOD(MOD(H35,prime)*ROW($A$1:$A$129),prime)=1)*(ROW($A$1:$A$129)&lt;prime)*ROW($A$1:$A$129)))</f>
        <v/>
      </c>
      <c r="J35">
        <f>MOD(G35*I35,prime)</f>
        <v/>
      </c>
    </row>
    <row r="36">
      <c r="A36" t="n">
        <v>31</v>
      </c>
      <c r="B36">
        <f>MOD(J35*J35-B35-Gx,prime)</f>
        <v/>
      </c>
      <c r="C36">
        <f>MOD(J35*(Gx-B36)-Gy,prime)</f>
        <v/>
      </c>
      <c r="D36">
        <f>MOD(C36*C36,prime)</f>
        <v/>
      </c>
      <c r="E36">
        <f>MOD(B36^3+a*B36+b,prime)</f>
        <v/>
      </c>
      <c r="G36">
        <f>MOD(Gy-C36,prime)</f>
        <v/>
      </c>
      <c r="H36">
        <f>MOD(Gx-B36,prime)</f>
        <v/>
      </c>
      <c r="I36">
        <f>IF(SUMPRODUCT((MOD(MOD(H36,prime)*ROW($A$1:$A$129),prime)=1)*(ROW($A$1:$A$129)&lt;prime)*ROW($A$1:$A$129))=0,NA(),SUMPRODUCT((MOD(MOD(H36,prime)*ROW($A$1:$A$129),prime)=1)*(ROW($A$1:$A$129)&lt;prime)*ROW($A$1:$A$129)))</f>
        <v/>
      </c>
      <c r="J36">
        <f>MOD(G36*I36,prime)</f>
        <v/>
      </c>
    </row>
    <row r="37">
      <c r="A37" t="n">
        <v>32</v>
      </c>
      <c r="B37">
        <f>MOD(J36*J36-B36-Gx,prime)</f>
        <v/>
      </c>
      <c r="C37">
        <f>MOD(J36*(Gx-B37)-Gy,prime)</f>
        <v/>
      </c>
      <c r="D37">
        <f>MOD(C37*C37,prime)</f>
        <v/>
      </c>
      <c r="E37">
        <f>MOD(B37^3+a*B37+b,prime)</f>
        <v/>
      </c>
      <c r="G37">
        <f>MOD(Gy-C37,prime)</f>
        <v/>
      </c>
      <c r="H37">
        <f>MOD(Gx-B37,prime)</f>
        <v/>
      </c>
      <c r="I37">
        <f>IF(SUMPRODUCT((MOD(MOD(H37,prime)*ROW($A$1:$A$129),prime)=1)*(ROW($A$1:$A$129)&lt;prime)*ROW($A$1:$A$129))=0,NA(),SUMPRODUCT((MOD(MOD(H37,prime)*ROW($A$1:$A$129),prime)=1)*(ROW($A$1:$A$129)&lt;prime)*ROW($A$1:$A$129)))</f>
        <v/>
      </c>
      <c r="J37">
        <f>MOD(G37*I37,prime)</f>
        <v/>
      </c>
    </row>
    <row r="38">
      <c r="A38" t="n">
        <v>33</v>
      </c>
      <c r="B38">
        <f>MOD(J37*J37-B37-Gx,prime)</f>
        <v/>
      </c>
      <c r="C38">
        <f>MOD(J37*(Gx-B38)-Gy,prime)</f>
        <v/>
      </c>
      <c r="D38">
        <f>MOD(C38*C38,prime)</f>
        <v/>
      </c>
      <c r="E38">
        <f>MOD(B38^3+a*B38+b,prime)</f>
        <v/>
      </c>
      <c r="G38">
        <f>MOD(Gy-C38,prime)</f>
        <v/>
      </c>
      <c r="H38">
        <f>MOD(Gx-B38,prime)</f>
        <v/>
      </c>
      <c r="I38">
        <f>IF(SUMPRODUCT((MOD(MOD(H38,prime)*ROW($A$1:$A$129),prime)=1)*(ROW($A$1:$A$129)&lt;prime)*ROW($A$1:$A$129))=0,NA(),SUMPRODUCT((MOD(MOD(H38,prime)*ROW($A$1:$A$129),prime)=1)*(ROW($A$1:$A$129)&lt;prime)*ROW($A$1:$A$129)))</f>
        <v/>
      </c>
      <c r="J38">
        <f>MOD(G38*I38,prime)</f>
        <v/>
      </c>
    </row>
    <row r="39">
      <c r="A39" t="n">
        <v>34</v>
      </c>
      <c r="B39">
        <f>MOD(J38*J38-B38-Gx,prime)</f>
        <v/>
      </c>
      <c r="C39">
        <f>MOD(J38*(Gx-B39)-Gy,prime)</f>
        <v/>
      </c>
      <c r="D39">
        <f>MOD(C39*C39,prime)</f>
        <v/>
      </c>
      <c r="E39">
        <f>MOD(B39^3+a*B39+b,prime)</f>
        <v/>
      </c>
      <c r="G39">
        <f>MOD(Gy-C39,prime)</f>
        <v/>
      </c>
      <c r="H39">
        <f>MOD(Gx-B39,prime)</f>
        <v/>
      </c>
      <c r="I39">
        <f>IF(SUMPRODUCT((MOD(MOD(H39,prime)*ROW($A$1:$A$129),prime)=1)*(ROW($A$1:$A$129)&lt;prime)*ROW($A$1:$A$129))=0,NA(),SUMPRODUCT((MOD(MOD(H39,prime)*ROW($A$1:$A$129),prime)=1)*(ROW($A$1:$A$129)&lt;prime)*ROW($A$1:$A$129)))</f>
        <v/>
      </c>
      <c r="J39">
        <f>MOD(G39*I39,prime)</f>
        <v/>
      </c>
    </row>
    <row r="40">
      <c r="A40" t="n">
        <v>35</v>
      </c>
      <c r="B40">
        <f>MOD(J39*J39-B39-Gx,prime)</f>
        <v/>
      </c>
      <c r="C40">
        <f>MOD(J39*(Gx-B40)-Gy,prime)</f>
        <v/>
      </c>
      <c r="D40">
        <f>MOD(C40*C40,prime)</f>
        <v/>
      </c>
      <c r="E40">
        <f>MOD(B40^3+a*B40+b,prime)</f>
        <v/>
      </c>
      <c r="G40">
        <f>MOD(Gy-C40,prime)</f>
        <v/>
      </c>
      <c r="H40">
        <f>MOD(Gx-B40,prime)</f>
        <v/>
      </c>
      <c r="I40">
        <f>IF(SUMPRODUCT((MOD(MOD(H40,prime)*ROW($A$1:$A$129),prime)=1)*(ROW($A$1:$A$129)&lt;prime)*ROW($A$1:$A$129))=0,NA(),SUMPRODUCT((MOD(MOD(H40,prime)*ROW($A$1:$A$129),prime)=1)*(ROW($A$1:$A$129)&lt;prime)*ROW($A$1:$A$129)))</f>
        <v/>
      </c>
      <c r="J40">
        <f>MOD(G40*I40,prime)</f>
        <v/>
      </c>
    </row>
    <row r="41">
      <c r="A41" t="n">
        <v>36</v>
      </c>
      <c r="B41">
        <f>MOD(J40*J40-B40-Gx,prime)</f>
        <v/>
      </c>
      <c r="C41">
        <f>MOD(J40*(Gx-B41)-Gy,prime)</f>
        <v/>
      </c>
      <c r="D41">
        <f>MOD(C41*C41,prime)</f>
        <v/>
      </c>
      <c r="E41">
        <f>MOD(B41^3+a*B41+b,prime)</f>
        <v/>
      </c>
      <c r="G41">
        <f>MOD(Gy-C41,prime)</f>
        <v/>
      </c>
      <c r="H41">
        <f>MOD(Gx-B41,prime)</f>
        <v/>
      </c>
      <c r="I41">
        <f>IF(SUMPRODUCT((MOD(MOD(H41,prime)*ROW($A$1:$A$129),prime)=1)*(ROW($A$1:$A$129)&lt;prime)*ROW($A$1:$A$129))=0,NA(),SUMPRODUCT((MOD(MOD(H41,prime)*ROW($A$1:$A$129),prime)=1)*(ROW($A$1:$A$129)&lt;prime)*ROW($A$1:$A$129)))</f>
        <v/>
      </c>
      <c r="J41">
        <f>MOD(G41*I41,prime)</f>
        <v/>
      </c>
    </row>
    <row r="42">
      <c r="A42" t="n">
        <v>37</v>
      </c>
      <c r="B42">
        <f>MOD(J41*J41-B41-Gx,prime)</f>
        <v/>
      </c>
      <c r="C42">
        <f>MOD(J41*(Gx-B42)-Gy,prime)</f>
        <v/>
      </c>
      <c r="D42">
        <f>MOD(C42*C42,prime)</f>
        <v/>
      </c>
      <c r="E42">
        <f>MOD(B42^3+a*B42+b,prime)</f>
        <v/>
      </c>
      <c r="G42">
        <f>MOD(Gy-C42,prime)</f>
        <v/>
      </c>
      <c r="H42">
        <f>MOD(Gx-B42,prime)</f>
        <v/>
      </c>
      <c r="I42">
        <f>IF(SUMPRODUCT((MOD(MOD(H42,prime)*ROW($A$1:$A$129),prime)=1)*(ROW($A$1:$A$129)&lt;prime)*ROW($A$1:$A$129))=0,NA(),SUMPRODUCT((MOD(MOD(H42,prime)*ROW($A$1:$A$129),prime)=1)*(ROW($A$1:$A$129)&lt;prime)*ROW($A$1:$A$129)))</f>
        <v/>
      </c>
      <c r="J42">
        <f>MOD(G42*I42,prime)</f>
        <v/>
      </c>
    </row>
    <row r="43">
      <c r="A43" t="n">
        <v>38</v>
      </c>
      <c r="B43">
        <f>MOD(J42*J42-B42-Gx,prime)</f>
        <v/>
      </c>
      <c r="C43">
        <f>MOD(J42*(Gx-B43)-Gy,prime)</f>
        <v/>
      </c>
      <c r="D43">
        <f>MOD(C43*C43,prime)</f>
        <v/>
      </c>
      <c r="E43">
        <f>MOD(B43^3+a*B43+b,prime)</f>
        <v/>
      </c>
      <c r="G43">
        <f>MOD(Gy-C43,prime)</f>
        <v/>
      </c>
      <c r="H43">
        <f>MOD(Gx-B43,prime)</f>
        <v/>
      </c>
      <c r="I43">
        <f>IF(SUMPRODUCT((MOD(MOD(H43,prime)*ROW($A$1:$A$129),prime)=1)*(ROW($A$1:$A$129)&lt;prime)*ROW($A$1:$A$129))=0,NA(),SUMPRODUCT((MOD(MOD(H43,prime)*ROW($A$1:$A$129),prime)=1)*(ROW($A$1:$A$129)&lt;prime)*ROW($A$1:$A$129)))</f>
        <v/>
      </c>
      <c r="J43">
        <f>MOD(G43*I43,prime)</f>
        <v/>
      </c>
    </row>
    <row r="44">
      <c r="A44" t="n">
        <v>39</v>
      </c>
      <c r="B44">
        <f>MOD(J43*J43-B43-Gx,prime)</f>
        <v/>
      </c>
      <c r="C44">
        <f>MOD(J43*(Gx-B44)-Gy,prime)</f>
        <v/>
      </c>
      <c r="D44">
        <f>MOD(C44*C44,prime)</f>
        <v/>
      </c>
      <c r="E44">
        <f>MOD(B44^3+a*B44+b,prime)</f>
        <v/>
      </c>
      <c r="G44">
        <f>MOD(Gy-C44,prime)</f>
        <v/>
      </c>
      <c r="H44">
        <f>MOD(Gx-B44,prime)</f>
        <v/>
      </c>
      <c r="I44">
        <f>IF(SUMPRODUCT((MOD(MOD(H44,prime)*ROW($A$1:$A$129),prime)=1)*(ROW($A$1:$A$129)&lt;prime)*ROW($A$1:$A$129))=0,NA(),SUMPRODUCT((MOD(MOD(H44,prime)*ROW($A$1:$A$129),prime)=1)*(ROW($A$1:$A$129)&lt;prime)*ROW($A$1:$A$129)))</f>
        <v/>
      </c>
      <c r="J44">
        <f>MOD(G44*I44,prime)</f>
        <v/>
      </c>
    </row>
    <row r="45">
      <c r="A45" t="n">
        <v>40</v>
      </c>
      <c r="B45">
        <f>MOD(J44*J44-B44-Gx,prime)</f>
        <v/>
      </c>
      <c r="C45">
        <f>MOD(J44*(Gx-B45)-Gy,prime)</f>
        <v/>
      </c>
      <c r="D45">
        <f>MOD(C45*C45,prime)</f>
        <v/>
      </c>
      <c r="E45">
        <f>MOD(B45^3+a*B45+b,prime)</f>
        <v/>
      </c>
      <c r="G45">
        <f>MOD(Gy-C45,prime)</f>
        <v/>
      </c>
      <c r="H45">
        <f>MOD(Gx-B45,prime)</f>
        <v/>
      </c>
      <c r="I45">
        <f>IF(SUMPRODUCT((MOD(MOD(H45,prime)*ROW($A$1:$A$129),prime)=1)*(ROW($A$1:$A$129)&lt;prime)*ROW($A$1:$A$129))=0,NA(),SUMPRODUCT((MOD(MOD(H45,prime)*ROW($A$1:$A$129),prime)=1)*(ROW($A$1:$A$129)&lt;prime)*ROW($A$1:$A$129)))</f>
        <v/>
      </c>
      <c r="J45">
        <f>MOD(G45*I45,prime)</f>
        <v/>
      </c>
    </row>
    <row r="46">
      <c r="A46" t="n">
        <v>41</v>
      </c>
      <c r="B46">
        <f>MOD(J45*J45-B45-Gx,prime)</f>
        <v/>
      </c>
      <c r="C46">
        <f>MOD(J45*(Gx-B46)-Gy,prime)</f>
        <v/>
      </c>
      <c r="D46">
        <f>MOD(C46*C46,prime)</f>
        <v/>
      </c>
      <c r="E46">
        <f>MOD(B46^3+a*B46+b,prime)</f>
        <v/>
      </c>
      <c r="G46">
        <f>MOD(Gy-C46,prime)</f>
        <v/>
      </c>
      <c r="H46">
        <f>MOD(Gx-B46,prime)</f>
        <v/>
      </c>
      <c r="I46">
        <f>IF(SUMPRODUCT((MOD(MOD(H46,prime)*ROW($A$1:$A$129),prime)=1)*(ROW($A$1:$A$129)&lt;prime)*ROW($A$1:$A$129))=0,NA(),SUMPRODUCT((MOD(MOD(H46,prime)*ROW($A$1:$A$129),prime)=1)*(ROW($A$1:$A$129)&lt;prime)*ROW($A$1:$A$129)))</f>
        <v/>
      </c>
      <c r="J46">
        <f>MOD(G46*I46,prime)</f>
        <v/>
      </c>
    </row>
    <row r="47">
      <c r="A47" t="n">
        <v>42</v>
      </c>
      <c r="B47">
        <f>MOD(J46*J46-B46-Gx,prime)</f>
        <v/>
      </c>
      <c r="C47">
        <f>MOD(J46*(Gx-B47)-Gy,prime)</f>
        <v/>
      </c>
      <c r="D47">
        <f>MOD(C47*C47,prime)</f>
        <v/>
      </c>
      <c r="E47">
        <f>MOD(B47^3+a*B47+b,prime)</f>
        <v/>
      </c>
      <c r="G47">
        <f>MOD(Gy-C47,prime)</f>
        <v/>
      </c>
      <c r="H47">
        <f>MOD(Gx-B47,prime)</f>
        <v/>
      </c>
      <c r="I47">
        <f>IF(SUMPRODUCT((MOD(MOD(H47,prime)*ROW($A$1:$A$129),prime)=1)*(ROW($A$1:$A$129)&lt;prime)*ROW($A$1:$A$129))=0,NA(),SUMPRODUCT((MOD(MOD(H47,prime)*ROW($A$1:$A$129),prime)=1)*(ROW($A$1:$A$129)&lt;prime)*ROW($A$1:$A$129)))</f>
        <v/>
      </c>
      <c r="J47">
        <f>MOD(G47*I47,prime)</f>
        <v/>
      </c>
    </row>
    <row r="48">
      <c r="A48" t="n">
        <v>43</v>
      </c>
      <c r="B48">
        <f>MOD(J47*J47-B47-Gx,prime)</f>
        <v/>
      </c>
      <c r="C48">
        <f>MOD(J47*(Gx-B48)-Gy,prime)</f>
        <v/>
      </c>
      <c r="D48">
        <f>MOD(C48*C48,prime)</f>
        <v/>
      </c>
      <c r="E48">
        <f>MOD(B48^3+a*B48+b,prime)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2026-09-27T18:26:45Z</dcterms:created>
  <dcterms:modified xsi:type="dcterms:W3CDTF">2026-09-27T18:26:45Z</dcterms:modified>
</cp:coreProperties>
</file>