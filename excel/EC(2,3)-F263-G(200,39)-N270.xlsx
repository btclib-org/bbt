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 over R" sheetId="1" state="visible" r:id="rId1"/>
    <sheet name="EC over F" sheetId="2" state="visible" r:id="rId2"/>
    <sheet name="Finite Field" sheetId="3" state="visible" r:id="rId3"/>
  </sheets>
  <definedNames>
    <definedName name="a">'EC over F'!$B$1</definedName>
    <definedName name="b">'EC over F'!$B$2</definedName>
    <definedName name="prime">'EC over F'!$B$3</definedName>
    <definedName name="Gx">'Finite Field'!$B$1</definedName>
    <definedName name="Gy">'Finite Field'!$B$2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roundedCorners val="0"/>
  <style val="13"/>
  <chart>
    <title>
      <tx>
        <rich>
          <a:bodyPr/>
          <a:p>
            <a:pPr>
              <a:defRPr/>
            </a:pPr>
            <a:r>
              <a:t>y^2 = x^3 + 2x + 3 over R</a:t>
            </a:r>
          </a:p>
        </rich>
      </tx>
    </title>
    <plotArea>
      <scatterChart>
        <scatterStyle val="smooth"/>
        <ser>
          <idx val="0"/>
          <order val="0"/>
          <tx>
            <v>y = +sqrt(x^3+ax+b)</v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'EC over R'!$A$3:$A$123</f>
            </numRef>
          </xVal>
          <yVal>
            <numRef>
              <f>'EC over R'!$B$3:$B$123</f>
            </numRef>
          </yVal>
          <smooth val="1"/>
        </ser>
        <ser>
          <idx val="1"/>
          <order val="1"/>
          <tx>
            <v>y = -sqrt(x^3+ax+b)</v>
          </tx>
          <spPr>
            <a:ln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'EC over R'!$A$3:$A$123</f>
            </numRef>
          </xVal>
          <yVal>
            <numRef>
              <f>'EC over R'!$C$3:$C$123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20"/>
        <crosses val="autoZero"/>
      </valAx>
      <valAx>
        <axId val="2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10"/>
        <crosses val="autoZero"/>
      </valAx>
      <spPr>
        <a:solidFill>
          <a:srgbClr val="FFFFFF"/>
        </a:solidFill>
        <a:ln>
          <a:noFill/>
          <a:prstDash val="solid"/>
        </a:ln>
      </spPr>
    </plotArea>
    <legend>
      <legendPos val="r"/>
    </legend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roundedCorners val="0"/>
  <style val="13"/>
  <chart>
    <title>
      <tx>
        <rich>
          <a:bodyPr/>
          <a:p>
            <a:pPr>
              <a:defRPr/>
            </a:pPr>
            <a:r>
              <a:t>y^2 = x^3 + 2x + 3 over F263</a:t>
            </a:r>
          </a:p>
        </rich>
      </tx>
    </title>
    <plotArea>
      <scatterChart>
        <scatterStyle val="marker"/>
        <ser>
          <idx val="0"/>
          <order val="0"/>
          <tx>
            <v>y (odd root)</v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spPr>
          </marker>
          <xVal>
            <numRef>
              <f>'EC over F'!$A$8:$A$270</f>
            </numRef>
          </xVal>
          <yVal>
            <numRef>
              <f>'EC over F'!$C$8:$C$270</f>
            </numRef>
          </yVal>
          <smooth val="0"/>
        </ser>
        <ser>
          <idx val="1"/>
          <order val="1"/>
          <tx>
            <v>-y (even root)</v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spPr>
          </marker>
          <xVal>
            <numRef>
              <f>'EC over F'!$A$8:$A$270</f>
            </numRef>
          </xVal>
          <yVal>
            <numRef>
              <f>'EC over F'!$D$8:$D$270</f>
            </numRef>
          </yVal>
          <smooth val="0"/>
        </ser>
        <ser>
          <idx val="2"/>
          <order val="2"/>
          <tx>
            <v>symmetry axis</v>
          </tx>
          <spPr>
            <a:ln w="9525">
              <a:solidFill>
                <a:srgbClr val="80808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'EC over F'!$F$1:$F$2</f>
            </numRef>
          </xVal>
          <yVal>
            <numRef>
              <f>'EC over F'!$G$1:$G$2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20"/>
      </valAx>
      <valAx>
        <axId val="2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10"/>
      </valAx>
      <spPr>
        <a:solidFill>
          <a:srgbClr val="FFFFFF"/>
        </a:solidFill>
        <a:ln>
          <a:noFill/>
          <a:prstDash val="solid"/>
        </a:ln>
      </spPr>
    </plotArea>
    <legend>
      <legendPos val="r"/>
    </legend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roundedCorners val="0"/>
  <style val="13"/>
  <chart>
    <title>
      <tx>
        <rich>
          <a:bodyPr/>
          <a:p>
            <a:pPr>
              <a:defRPr/>
            </a:pPr>
            <a:r>
              <a:t>multiples of G = (200,39) over F263</a:t>
            </a:r>
          </a:p>
        </rich>
      </tx>
    </title>
    <plotArea>
      <scatterChart>
        <scatterStyle val="lineMarker"/>
        <ser>
          <idx val="0"/>
          <order val="0"/>
          <tx>
            <v>k*G, k = 1, 2, ...</v>
          </tx>
          <spPr>
            <a:ln w="3175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'Finite Field'!$B$6:$B$275</f>
            </numRef>
          </xVal>
          <yVal>
            <numRef>
              <f>'Finite Field'!$C$6:$C$275</f>
            </numRef>
          </yVal>
          <smooth val="0"/>
        </ser>
        <ser>
          <idx val="1"/>
          <order val="1"/>
          <tx>
            <v>symmetry axis</v>
          </tx>
          <spPr>
            <a:ln w="9525">
              <a:solidFill>
                <a:srgbClr val="80808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'Finite Field'!$D$1:$D$2</f>
            </numRef>
          </xVal>
          <yVal>
            <numRef>
              <f>'Finite Field'!$E$1:$E$2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20"/>
      </valAx>
      <valAx>
        <axId val="2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10"/>
      </valAx>
      <spPr>
        <a:solidFill>
          <a:srgbClr val="FFFFFF"/>
        </a:solidFill>
        <a:ln>
          <a:noFill/>
          <a:prstDash val="solid"/>
        </a:ln>
      </spPr>
    </plotArea>
    <legend>
      <legendPos val="r"/>
    </legend>
    <plotVisOnly val="1"/>
    <dispBlanksAs val="gap"/>
  </chart>
  <spPr>
    <a:solidFill>
      <a:srgbClr val="FFFFFF"/>
    </a:solidFill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12.6640625" customWidth="1" min="1" max="1"/>
    <col width="14.5" customWidth="1" min="2" max="2"/>
    <col width="15" customWidth="1" min="3" max="3"/>
  </cols>
  <sheetData>
    <row r="1">
      <c r="A1" t="inlineStr">
        <is>
          <t>step</t>
        </is>
      </c>
      <c r="B1" t="n">
        <v>0.03333333333333333</v>
      </c>
    </row>
    <row r="2">
      <c r="A2" t="inlineStr">
        <is>
          <t>x (real)</t>
        </is>
      </c>
      <c r="B2" t="inlineStr">
        <is>
          <t>y = sqrt(x^3+ax+b)</t>
        </is>
      </c>
      <c r="C2" t="inlineStr">
        <is>
          <t>y = -sqrt(x^3+ax+b)</t>
        </is>
      </c>
    </row>
    <row r="3">
      <c r="A3" t="n">
        <v>-1</v>
      </c>
      <c r="B3">
        <f>IF((A3^3+a*A3+b)&lt;-1e-06,NA(),SQRT(MAX(0,(A3^3+a*A3+b))))</f>
        <v/>
      </c>
      <c r="C3">
        <f>IF((A3^3+a*A3+b)&lt;-1e-06,NA(),-SQRT(MAX(0,(A3^3+a*A3+b))))</f>
        <v/>
      </c>
    </row>
    <row r="4">
      <c r="A4">
        <f>A3+$B$1</f>
        <v/>
      </c>
      <c r="B4">
        <f>IF((A4^3+a*A4+b)&lt;-1e-06,NA(),SQRT(MAX(0,(A4^3+a*A4+b))))</f>
        <v/>
      </c>
      <c r="C4">
        <f>IF((A4^3+a*A4+b)&lt;-1e-06,NA(),-SQRT(MAX(0,(A4^3+a*A4+b))))</f>
        <v/>
      </c>
    </row>
    <row r="5">
      <c r="A5">
        <f>A4+$B$1</f>
        <v/>
      </c>
      <c r="B5">
        <f>IF((A5^3+a*A5+b)&lt;-1e-06,NA(),SQRT(MAX(0,(A5^3+a*A5+b))))</f>
        <v/>
      </c>
      <c r="C5">
        <f>IF((A5^3+a*A5+b)&lt;-1e-06,NA(),-SQRT(MAX(0,(A5^3+a*A5+b))))</f>
        <v/>
      </c>
    </row>
    <row r="6">
      <c r="A6">
        <f>A5+$B$1</f>
        <v/>
      </c>
      <c r="B6">
        <f>IF((A6^3+a*A6+b)&lt;-1e-06,NA(),SQRT(MAX(0,(A6^3+a*A6+b))))</f>
        <v/>
      </c>
      <c r="C6">
        <f>IF((A6^3+a*A6+b)&lt;-1e-06,NA(),-SQRT(MAX(0,(A6^3+a*A6+b))))</f>
        <v/>
      </c>
    </row>
    <row r="7">
      <c r="A7">
        <f>A6+$B$1</f>
        <v/>
      </c>
      <c r="B7">
        <f>IF((A7^3+a*A7+b)&lt;-1e-06,NA(),SQRT(MAX(0,(A7^3+a*A7+b))))</f>
        <v/>
      </c>
      <c r="C7">
        <f>IF((A7^3+a*A7+b)&lt;-1e-06,NA(),-SQRT(MAX(0,(A7^3+a*A7+b))))</f>
        <v/>
      </c>
    </row>
    <row r="8">
      <c r="A8">
        <f>A7+$B$1</f>
        <v/>
      </c>
      <c r="B8">
        <f>IF((A8^3+a*A8+b)&lt;-1e-06,NA(),SQRT(MAX(0,(A8^3+a*A8+b))))</f>
        <v/>
      </c>
      <c r="C8">
        <f>IF((A8^3+a*A8+b)&lt;-1e-06,NA(),-SQRT(MAX(0,(A8^3+a*A8+b))))</f>
        <v/>
      </c>
    </row>
    <row r="9">
      <c r="A9">
        <f>A8+$B$1</f>
        <v/>
      </c>
      <c r="B9">
        <f>IF((A9^3+a*A9+b)&lt;-1e-06,NA(),SQRT(MAX(0,(A9^3+a*A9+b))))</f>
        <v/>
      </c>
      <c r="C9">
        <f>IF((A9^3+a*A9+b)&lt;-1e-06,NA(),-SQRT(MAX(0,(A9^3+a*A9+b))))</f>
        <v/>
      </c>
    </row>
    <row r="10">
      <c r="A10">
        <f>A9+$B$1</f>
        <v/>
      </c>
      <c r="B10">
        <f>IF((A10^3+a*A10+b)&lt;-1e-06,NA(),SQRT(MAX(0,(A10^3+a*A10+b))))</f>
        <v/>
      </c>
      <c r="C10">
        <f>IF((A10^3+a*A10+b)&lt;-1e-06,NA(),-SQRT(MAX(0,(A10^3+a*A10+b))))</f>
        <v/>
      </c>
    </row>
    <row r="11">
      <c r="A11">
        <f>A10+$B$1</f>
        <v/>
      </c>
      <c r="B11">
        <f>IF((A11^3+a*A11+b)&lt;-1e-06,NA(),SQRT(MAX(0,(A11^3+a*A11+b))))</f>
        <v/>
      </c>
      <c r="C11">
        <f>IF((A11^3+a*A11+b)&lt;-1e-06,NA(),-SQRT(MAX(0,(A11^3+a*A11+b))))</f>
        <v/>
      </c>
    </row>
    <row r="12">
      <c r="A12">
        <f>A11+$B$1</f>
        <v/>
      </c>
      <c r="B12">
        <f>IF((A12^3+a*A12+b)&lt;-1e-06,NA(),SQRT(MAX(0,(A12^3+a*A12+b))))</f>
        <v/>
      </c>
      <c r="C12">
        <f>IF((A12^3+a*A12+b)&lt;-1e-06,NA(),-SQRT(MAX(0,(A12^3+a*A12+b))))</f>
        <v/>
      </c>
    </row>
    <row r="13">
      <c r="A13">
        <f>A12+$B$1</f>
        <v/>
      </c>
      <c r="B13">
        <f>IF((A13^3+a*A13+b)&lt;-1e-06,NA(),SQRT(MAX(0,(A13^3+a*A13+b))))</f>
        <v/>
      </c>
      <c r="C13">
        <f>IF((A13^3+a*A13+b)&lt;-1e-06,NA(),-SQRT(MAX(0,(A13^3+a*A13+b))))</f>
        <v/>
      </c>
    </row>
    <row r="14">
      <c r="A14">
        <f>A13+$B$1</f>
        <v/>
      </c>
      <c r="B14">
        <f>IF((A14^3+a*A14+b)&lt;-1e-06,NA(),SQRT(MAX(0,(A14^3+a*A14+b))))</f>
        <v/>
      </c>
      <c r="C14">
        <f>IF((A14^3+a*A14+b)&lt;-1e-06,NA(),-SQRT(MAX(0,(A14^3+a*A14+b))))</f>
        <v/>
      </c>
    </row>
    <row r="15">
      <c r="A15">
        <f>A14+$B$1</f>
        <v/>
      </c>
      <c r="B15">
        <f>IF((A15^3+a*A15+b)&lt;-1e-06,NA(),SQRT(MAX(0,(A15^3+a*A15+b))))</f>
        <v/>
      </c>
      <c r="C15">
        <f>IF((A15^3+a*A15+b)&lt;-1e-06,NA(),-SQRT(MAX(0,(A15^3+a*A15+b))))</f>
        <v/>
      </c>
    </row>
    <row r="16">
      <c r="A16">
        <f>A15+$B$1</f>
        <v/>
      </c>
      <c r="B16">
        <f>IF((A16^3+a*A16+b)&lt;-1e-06,NA(),SQRT(MAX(0,(A16^3+a*A16+b))))</f>
        <v/>
      </c>
      <c r="C16">
        <f>IF((A16^3+a*A16+b)&lt;-1e-06,NA(),-SQRT(MAX(0,(A16^3+a*A16+b))))</f>
        <v/>
      </c>
    </row>
    <row r="17">
      <c r="A17">
        <f>A16+$B$1</f>
        <v/>
      </c>
      <c r="B17">
        <f>IF((A17^3+a*A17+b)&lt;-1e-06,NA(),SQRT(MAX(0,(A17^3+a*A17+b))))</f>
        <v/>
      </c>
      <c r="C17">
        <f>IF((A17^3+a*A17+b)&lt;-1e-06,NA(),-SQRT(MAX(0,(A17^3+a*A17+b))))</f>
        <v/>
      </c>
    </row>
    <row r="18">
      <c r="A18">
        <f>A17+$B$1</f>
        <v/>
      </c>
      <c r="B18">
        <f>IF((A18^3+a*A18+b)&lt;-1e-06,NA(),SQRT(MAX(0,(A18^3+a*A18+b))))</f>
        <v/>
      </c>
      <c r="C18">
        <f>IF((A18^3+a*A18+b)&lt;-1e-06,NA(),-SQRT(MAX(0,(A18^3+a*A18+b))))</f>
        <v/>
      </c>
    </row>
    <row r="19">
      <c r="A19">
        <f>A18+$B$1</f>
        <v/>
      </c>
      <c r="B19">
        <f>IF((A19^3+a*A19+b)&lt;-1e-06,NA(),SQRT(MAX(0,(A19^3+a*A19+b))))</f>
        <v/>
      </c>
      <c r="C19">
        <f>IF((A19^3+a*A19+b)&lt;-1e-06,NA(),-SQRT(MAX(0,(A19^3+a*A19+b))))</f>
        <v/>
      </c>
    </row>
    <row r="20">
      <c r="A20">
        <f>A19+$B$1</f>
        <v/>
      </c>
      <c r="B20">
        <f>IF((A20^3+a*A20+b)&lt;-1e-06,NA(),SQRT(MAX(0,(A20^3+a*A20+b))))</f>
        <v/>
      </c>
      <c r="C20">
        <f>IF((A20^3+a*A20+b)&lt;-1e-06,NA(),-SQRT(MAX(0,(A20^3+a*A20+b))))</f>
        <v/>
      </c>
    </row>
    <row r="21">
      <c r="A21">
        <f>A20+$B$1</f>
        <v/>
      </c>
      <c r="B21">
        <f>IF((A21^3+a*A21+b)&lt;-1e-06,NA(),SQRT(MAX(0,(A21^3+a*A21+b))))</f>
        <v/>
      </c>
      <c r="C21">
        <f>IF((A21^3+a*A21+b)&lt;-1e-06,NA(),-SQRT(MAX(0,(A21^3+a*A21+b))))</f>
        <v/>
      </c>
    </row>
    <row r="22">
      <c r="A22">
        <f>A21+$B$1</f>
        <v/>
      </c>
      <c r="B22">
        <f>IF((A22^3+a*A22+b)&lt;-1e-06,NA(),SQRT(MAX(0,(A22^3+a*A22+b))))</f>
        <v/>
      </c>
      <c r="C22">
        <f>IF((A22^3+a*A22+b)&lt;-1e-06,NA(),-SQRT(MAX(0,(A22^3+a*A22+b))))</f>
        <v/>
      </c>
    </row>
    <row r="23">
      <c r="A23">
        <f>A22+$B$1</f>
        <v/>
      </c>
      <c r="B23">
        <f>IF((A23^3+a*A23+b)&lt;-1e-06,NA(),SQRT(MAX(0,(A23^3+a*A23+b))))</f>
        <v/>
      </c>
      <c r="C23">
        <f>IF((A23^3+a*A23+b)&lt;-1e-06,NA(),-SQRT(MAX(0,(A23^3+a*A23+b))))</f>
        <v/>
      </c>
    </row>
    <row r="24">
      <c r="A24">
        <f>A23+$B$1</f>
        <v/>
      </c>
      <c r="B24">
        <f>IF((A24^3+a*A24+b)&lt;-1e-06,NA(),SQRT(MAX(0,(A24^3+a*A24+b))))</f>
        <v/>
      </c>
      <c r="C24">
        <f>IF((A24^3+a*A24+b)&lt;-1e-06,NA(),-SQRT(MAX(0,(A24^3+a*A24+b))))</f>
        <v/>
      </c>
    </row>
    <row r="25">
      <c r="A25">
        <f>A24+$B$1</f>
        <v/>
      </c>
      <c r="B25">
        <f>IF((A25^3+a*A25+b)&lt;-1e-06,NA(),SQRT(MAX(0,(A25^3+a*A25+b))))</f>
        <v/>
      </c>
      <c r="C25">
        <f>IF((A25^3+a*A25+b)&lt;-1e-06,NA(),-SQRT(MAX(0,(A25^3+a*A25+b))))</f>
        <v/>
      </c>
    </row>
    <row r="26">
      <c r="A26">
        <f>A25+$B$1</f>
        <v/>
      </c>
      <c r="B26">
        <f>IF((A26^3+a*A26+b)&lt;-1e-06,NA(),SQRT(MAX(0,(A26^3+a*A26+b))))</f>
        <v/>
      </c>
      <c r="C26">
        <f>IF((A26^3+a*A26+b)&lt;-1e-06,NA(),-SQRT(MAX(0,(A26^3+a*A26+b))))</f>
        <v/>
      </c>
    </row>
    <row r="27">
      <c r="A27">
        <f>A26+$B$1</f>
        <v/>
      </c>
      <c r="B27">
        <f>IF((A27^3+a*A27+b)&lt;-1e-06,NA(),SQRT(MAX(0,(A27^3+a*A27+b))))</f>
        <v/>
      </c>
      <c r="C27">
        <f>IF((A27^3+a*A27+b)&lt;-1e-06,NA(),-SQRT(MAX(0,(A27^3+a*A27+b))))</f>
        <v/>
      </c>
    </row>
    <row r="28">
      <c r="A28">
        <f>A27+$B$1</f>
        <v/>
      </c>
      <c r="B28">
        <f>IF((A28^3+a*A28+b)&lt;-1e-06,NA(),SQRT(MAX(0,(A28^3+a*A28+b))))</f>
        <v/>
      </c>
      <c r="C28">
        <f>IF((A28^3+a*A28+b)&lt;-1e-06,NA(),-SQRT(MAX(0,(A28^3+a*A28+b))))</f>
        <v/>
      </c>
    </row>
    <row r="29">
      <c r="A29">
        <f>A28+$B$1</f>
        <v/>
      </c>
      <c r="B29">
        <f>IF((A29^3+a*A29+b)&lt;-1e-06,NA(),SQRT(MAX(0,(A29^3+a*A29+b))))</f>
        <v/>
      </c>
      <c r="C29">
        <f>IF((A29^3+a*A29+b)&lt;-1e-06,NA(),-SQRT(MAX(0,(A29^3+a*A29+b))))</f>
        <v/>
      </c>
    </row>
    <row r="30">
      <c r="A30">
        <f>A29+$B$1</f>
        <v/>
      </c>
      <c r="B30">
        <f>IF((A30^3+a*A30+b)&lt;-1e-06,NA(),SQRT(MAX(0,(A30^3+a*A30+b))))</f>
        <v/>
      </c>
      <c r="C30">
        <f>IF((A30^3+a*A30+b)&lt;-1e-06,NA(),-SQRT(MAX(0,(A30^3+a*A30+b))))</f>
        <v/>
      </c>
    </row>
    <row r="31">
      <c r="A31">
        <f>A30+$B$1</f>
        <v/>
      </c>
      <c r="B31">
        <f>IF((A31^3+a*A31+b)&lt;-1e-06,NA(),SQRT(MAX(0,(A31^3+a*A31+b))))</f>
        <v/>
      </c>
      <c r="C31">
        <f>IF((A31^3+a*A31+b)&lt;-1e-06,NA(),-SQRT(MAX(0,(A31^3+a*A31+b))))</f>
        <v/>
      </c>
    </row>
    <row r="32">
      <c r="A32">
        <f>A31+$B$1</f>
        <v/>
      </c>
      <c r="B32">
        <f>IF((A32^3+a*A32+b)&lt;-1e-06,NA(),SQRT(MAX(0,(A32^3+a*A32+b))))</f>
        <v/>
      </c>
      <c r="C32">
        <f>IF((A32^3+a*A32+b)&lt;-1e-06,NA(),-SQRT(MAX(0,(A32^3+a*A32+b))))</f>
        <v/>
      </c>
    </row>
    <row r="33">
      <c r="A33">
        <f>A32+$B$1</f>
        <v/>
      </c>
      <c r="B33">
        <f>IF((A33^3+a*A33+b)&lt;-1e-06,NA(),SQRT(MAX(0,(A33^3+a*A33+b))))</f>
        <v/>
      </c>
      <c r="C33">
        <f>IF((A33^3+a*A33+b)&lt;-1e-06,NA(),-SQRT(MAX(0,(A33^3+a*A33+b))))</f>
        <v/>
      </c>
    </row>
    <row r="34">
      <c r="A34">
        <f>A33+$B$1</f>
        <v/>
      </c>
      <c r="B34">
        <f>IF((A34^3+a*A34+b)&lt;-1e-06,NA(),SQRT(MAX(0,(A34^3+a*A34+b))))</f>
        <v/>
      </c>
      <c r="C34">
        <f>IF((A34^3+a*A34+b)&lt;-1e-06,NA(),-SQRT(MAX(0,(A34^3+a*A34+b))))</f>
        <v/>
      </c>
    </row>
    <row r="35">
      <c r="A35">
        <f>A34+$B$1</f>
        <v/>
      </c>
      <c r="B35">
        <f>IF((A35^3+a*A35+b)&lt;-1e-06,NA(),SQRT(MAX(0,(A35^3+a*A35+b))))</f>
        <v/>
      </c>
      <c r="C35">
        <f>IF((A35^3+a*A35+b)&lt;-1e-06,NA(),-SQRT(MAX(0,(A35^3+a*A35+b))))</f>
        <v/>
      </c>
    </row>
    <row r="36">
      <c r="A36">
        <f>A35+$B$1</f>
        <v/>
      </c>
      <c r="B36">
        <f>IF((A36^3+a*A36+b)&lt;-1e-06,NA(),SQRT(MAX(0,(A36^3+a*A36+b))))</f>
        <v/>
      </c>
      <c r="C36">
        <f>IF((A36^3+a*A36+b)&lt;-1e-06,NA(),-SQRT(MAX(0,(A36^3+a*A36+b))))</f>
        <v/>
      </c>
    </row>
    <row r="37">
      <c r="A37">
        <f>A36+$B$1</f>
        <v/>
      </c>
      <c r="B37">
        <f>IF((A37^3+a*A37+b)&lt;-1e-06,NA(),SQRT(MAX(0,(A37^3+a*A37+b))))</f>
        <v/>
      </c>
      <c r="C37">
        <f>IF((A37^3+a*A37+b)&lt;-1e-06,NA(),-SQRT(MAX(0,(A37^3+a*A37+b))))</f>
        <v/>
      </c>
    </row>
    <row r="38">
      <c r="A38">
        <f>A37+$B$1</f>
        <v/>
      </c>
      <c r="B38">
        <f>IF((A38^3+a*A38+b)&lt;-1e-06,NA(),SQRT(MAX(0,(A38^3+a*A38+b))))</f>
        <v/>
      </c>
      <c r="C38">
        <f>IF((A38^3+a*A38+b)&lt;-1e-06,NA(),-SQRT(MAX(0,(A38^3+a*A38+b))))</f>
        <v/>
      </c>
    </row>
    <row r="39">
      <c r="A39">
        <f>A38+$B$1</f>
        <v/>
      </c>
      <c r="B39">
        <f>IF((A39^3+a*A39+b)&lt;-1e-06,NA(),SQRT(MAX(0,(A39^3+a*A39+b))))</f>
        <v/>
      </c>
      <c r="C39">
        <f>IF((A39^3+a*A39+b)&lt;-1e-06,NA(),-SQRT(MAX(0,(A39^3+a*A39+b))))</f>
        <v/>
      </c>
    </row>
    <row r="40">
      <c r="A40">
        <f>A39+$B$1</f>
        <v/>
      </c>
      <c r="B40">
        <f>IF((A40^3+a*A40+b)&lt;-1e-06,NA(),SQRT(MAX(0,(A40^3+a*A40+b))))</f>
        <v/>
      </c>
      <c r="C40">
        <f>IF((A40^3+a*A40+b)&lt;-1e-06,NA(),-SQRT(MAX(0,(A40^3+a*A40+b))))</f>
        <v/>
      </c>
    </row>
    <row r="41">
      <c r="A41">
        <f>A40+$B$1</f>
        <v/>
      </c>
      <c r="B41">
        <f>IF((A41^3+a*A41+b)&lt;-1e-06,NA(),SQRT(MAX(0,(A41^3+a*A41+b))))</f>
        <v/>
      </c>
      <c r="C41">
        <f>IF((A41^3+a*A41+b)&lt;-1e-06,NA(),-SQRT(MAX(0,(A41^3+a*A41+b))))</f>
        <v/>
      </c>
    </row>
    <row r="42">
      <c r="A42">
        <f>A41+$B$1</f>
        <v/>
      </c>
      <c r="B42">
        <f>IF((A42^3+a*A42+b)&lt;-1e-06,NA(),SQRT(MAX(0,(A42^3+a*A42+b))))</f>
        <v/>
      </c>
      <c r="C42">
        <f>IF((A42^3+a*A42+b)&lt;-1e-06,NA(),-SQRT(MAX(0,(A42^3+a*A42+b))))</f>
        <v/>
      </c>
    </row>
    <row r="43">
      <c r="A43">
        <f>A42+$B$1</f>
        <v/>
      </c>
      <c r="B43">
        <f>IF((A43^3+a*A43+b)&lt;-1e-06,NA(),SQRT(MAX(0,(A43^3+a*A43+b))))</f>
        <v/>
      </c>
      <c r="C43">
        <f>IF((A43^3+a*A43+b)&lt;-1e-06,NA(),-SQRT(MAX(0,(A43^3+a*A43+b))))</f>
        <v/>
      </c>
    </row>
    <row r="44">
      <c r="A44">
        <f>A43+$B$1</f>
        <v/>
      </c>
      <c r="B44">
        <f>IF((A44^3+a*A44+b)&lt;-1e-06,NA(),SQRT(MAX(0,(A44^3+a*A44+b))))</f>
        <v/>
      </c>
      <c r="C44">
        <f>IF((A44^3+a*A44+b)&lt;-1e-06,NA(),-SQRT(MAX(0,(A44^3+a*A44+b))))</f>
        <v/>
      </c>
    </row>
    <row r="45">
      <c r="A45">
        <f>A44+$B$1</f>
        <v/>
      </c>
      <c r="B45">
        <f>IF((A45^3+a*A45+b)&lt;-1e-06,NA(),SQRT(MAX(0,(A45^3+a*A45+b))))</f>
        <v/>
      </c>
      <c r="C45">
        <f>IF((A45^3+a*A45+b)&lt;-1e-06,NA(),-SQRT(MAX(0,(A45^3+a*A45+b))))</f>
        <v/>
      </c>
    </row>
    <row r="46">
      <c r="A46">
        <f>A45+$B$1</f>
        <v/>
      </c>
      <c r="B46">
        <f>IF((A46^3+a*A46+b)&lt;-1e-06,NA(),SQRT(MAX(0,(A46^3+a*A46+b))))</f>
        <v/>
      </c>
      <c r="C46">
        <f>IF((A46^3+a*A46+b)&lt;-1e-06,NA(),-SQRT(MAX(0,(A46^3+a*A46+b))))</f>
        <v/>
      </c>
    </row>
    <row r="47">
      <c r="A47">
        <f>A46+$B$1</f>
        <v/>
      </c>
      <c r="B47">
        <f>IF((A47^3+a*A47+b)&lt;-1e-06,NA(),SQRT(MAX(0,(A47^3+a*A47+b))))</f>
        <v/>
      </c>
      <c r="C47">
        <f>IF((A47^3+a*A47+b)&lt;-1e-06,NA(),-SQRT(MAX(0,(A47^3+a*A47+b))))</f>
        <v/>
      </c>
    </row>
    <row r="48">
      <c r="A48">
        <f>A47+$B$1</f>
        <v/>
      </c>
      <c r="B48">
        <f>IF((A48^3+a*A48+b)&lt;-1e-06,NA(),SQRT(MAX(0,(A48^3+a*A48+b))))</f>
        <v/>
      </c>
      <c r="C48">
        <f>IF((A48^3+a*A48+b)&lt;-1e-06,NA(),-SQRT(MAX(0,(A48^3+a*A48+b))))</f>
        <v/>
      </c>
    </row>
    <row r="49">
      <c r="A49">
        <f>A48+$B$1</f>
        <v/>
      </c>
      <c r="B49">
        <f>IF((A49^3+a*A49+b)&lt;-1e-06,NA(),SQRT(MAX(0,(A49^3+a*A49+b))))</f>
        <v/>
      </c>
      <c r="C49">
        <f>IF((A49^3+a*A49+b)&lt;-1e-06,NA(),-SQRT(MAX(0,(A49^3+a*A49+b))))</f>
        <v/>
      </c>
    </row>
    <row r="50">
      <c r="A50">
        <f>A49+$B$1</f>
        <v/>
      </c>
      <c r="B50">
        <f>IF((A50^3+a*A50+b)&lt;-1e-06,NA(),SQRT(MAX(0,(A50^3+a*A50+b))))</f>
        <v/>
      </c>
      <c r="C50">
        <f>IF((A50^3+a*A50+b)&lt;-1e-06,NA(),-SQRT(MAX(0,(A50^3+a*A50+b))))</f>
        <v/>
      </c>
    </row>
    <row r="51">
      <c r="A51">
        <f>A50+$B$1</f>
        <v/>
      </c>
      <c r="B51">
        <f>IF((A51^3+a*A51+b)&lt;-1e-06,NA(),SQRT(MAX(0,(A51^3+a*A51+b))))</f>
        <v/>
      </c>
      <c r="C51">
        <f>IF((A51^3+a*A51+b)&lt;-1e-06,NA(),-SQRT(MAX(0,(A51^3+a*A51+b))))</f>
        <v/>
      </c>
    </row>
    <row r="52">
      <c r="A52">
        <f>A51+$B$1</f>
        <v/>
      </c>
      <c r="B52">
        <f>IF((A52^3+a*A52+b)&lt;-1e-06,NA(),SQRT(MAX(0,(A52^3+a*A52+b))))</f>
        <v/>
      </c>
      <c r="C52">
        <f>IF((A52^3+a*A52+b)&lt;-1e-06,NA(),-SQRT(MAX(0,(A52^3+a*A52+b))))</f>
        <v/>
      </c>
    </row>
    <row r="53">
      <c r="A53">
        <f>A52+$B$1</f>
        <v/>
      </c>
      <c r="B53">
        <f>IF((A53^3+a*A53+b)&lt;-1e-06,NA(),SQRT(MAX(0,(A53^3+a*A53+b))))</f>
        <v/>
      </c>
      <c r="C53">
        <f>IF((A53^3+a*A53+b)&lt;-1e-06,NA(),-SQRT(MAX(0,(A53^3+a*A53+b))))</f>
        <v/>
      </c>
    </row>
    <row r="54">
      <c r="A54">
        <f>A53+$B$1</f>
        <v/>
      </c>
      <c r="B54">
        <f>IF((A54^3+a*A54+b)&lt;-1e-06,NA(),SQRT(MAX(0,(A54^3+a*A54+b))))</f>
        <v/>
      </c>
      <c r="C54">
        <f>IF((A54^3+a*A54+b)&lt;-1e-06,NA(),-SQRT(MAX(0,(A54^3+a*A54+b))))</f>
        <v/>
      </c>
    </row>
    <row r="55">
      <c r="A55">
        <f>A54+$B$1</f>
        <v/>
      </c>
      <c r="B55">
        <f>IF((A55^3+a*A55+b)&lt;-1e-06,NA(),SQRT(MAX(0,(A55^3+a*A55+b))))</f>
        <v/>
      </c>
      <c r="C55">
        <f>IF((A55^3+a*A55+b)&lt;-1e-06,NA(),-SQRT(MAX(0,(A55^3+a*A55+b))))</f>
        <v/>
      </c>
    </row>
    <row r="56">
      <c r="A56">
        <f>A55+$B$1</f>
        <v/>
      </c>
      <c r="B56">
        <f>IF((A56^3+a*A56+b)&lt;-1e-06,NA(),SQRT(MAX(0,(A56^3+a*A56+b))))</f>
        <v/>
      </c>
      <c r="C56">
        <f>IF((A56^3+a*A56+b)&lt;-1e-06,NA(),-SQRT(MAX(0,(A56^3+a*A56+b))))</f>
        <v/>
      </c>
    </row>
    <row r="57">
      <c r="A57">
        <f>A56+$B$1</f>
        <v/>
      </c>
      <c r="B57">
        <f>IF((A57^3+a*A57+b)&lt;-1e-06,NA(),SQRT(MAX(0,(A57^3+a*A57+b))))</f>
        <v/>
      </c>
      <c r="C57">
        <f>IF((A57^3+a*A57+b)&lt;-1e-06,NA(),-SQRT(MAX(0,(A57^3+a*A57+b))))</f>
        <v/>
      </c>
    </row>
    <row r="58">
      <c r="A58">
        <f>A57+$B$1</f>
        <v/>
      </c>
      <c r="B58">
        <f>IF((A58^3+a*A58+b)&lt;-1e-06,NA(),SQRT(MAX(0,(A58^3+a*A58+b))))</f>
        <v/>
      </c>
      <c r="C58">
        <f>IF((A58^3+a*A58+b)&lt;-1e-06,NA(),-SQRT(MAX(0,(A58^3+a*A58+b))))</f>
        <v/>
      </c>
    </row>
    <row r="59">
      <c r="A59">
        <f>A58+$B$1</f>
        <v/>
      </c>
      <c r="B59">
        <f>IF((A59^3+a*A59+b)&lt;-1e-06,NA(),SQRT(MAX(0,(A59^3+a*A59+b))))</f>
        <v/>
      </c>
      <c r="C59">
        <f>IF((A59^3+a*A59+b)&lt;-1e-06,NA(),-SQRT(MAX(0,(A59^3+a*A59+b))))</f>
        <v/>
      </c>
    </row>
    <row r="60">
      <c r="A60">
        <f>A59+$B$1</f>
        <v/>
      </c>
      <c r="B60">
        <f>IF((A60^3+a*A60+b)&lt;-1e-06,NA(),SQRT(MAX(0,(A60^3+a*A60+b))))</f>
        <v/>
      </c>
      <c r="C60">
        <f>IF((A60^3+a*A60+b)&lt;-1e-06,NA(),-SQRT(MAX(0,(A60^3+a*A60+b))))</f>
        <v/>
      </c>
    </row>
    <row r="61">
      <c r="A61">
        <f>A60+$B$1</f>
        <v/>
      </c>
      <c r="B61">
        <f>IF((A61^3+a*A61+b)&lt;-1e-06,NA(),SQRT(MAX(0,(A61^3+a*A61+b))))</f>
        <v/>
      </c>
      <c r="C61">
        <f>IF((A61^3+a*A61+b)&lt;-1e-06,NA(),-SQRT(MAX(0,(A61^3+a*A61+b))))</f>
        <v/>
      </c>
    </row>
    <row r="62">
      <c r="A62">
        <f>A61+$B$1</f>
        <v/>
      </c>
      <c r="B62">
        <f>IF((A62^3+a*A62+b)&lt;-1e-06,NA(),SQRT(MAX(0,(A62^3+a*A62+b))))</f>
        <v/>
      </c>
      <c r="C62">
        <f>IF((A62^3+a*A62+b)&lt;-1e-06,NA(),-SQRT(MAX(0,(A62^3+a*A62+b))))</f>
        <v/>
      </c>
    </row>
    <row r="63">
      <c r="A63">
        <f>A62+$B$1</f>
        <v/>
      </c>
      <c r="B63">
        <f>IF((A63^3+a*A63+b)&lt;-1e-06,NA(),SQRT(MAX(0,(A63^3+a*A63+b))))</f>
        <v/>
      </c>
      <c r="C63">
        <f>IF((A63^3+a*A63+b)&lt;-1e-06,NA(),-SQRT(MAX(0,(A63^3+a*A63+b))))</f>
        <v/>
      </c>
    </row>
    <row r="64">
      <c r="A64">
        <f>A63+$B$1</f>
        <v/>
      </c>
      <c r="B64">
        <f>IF((A64^3+a*A64+b)&lt;-1e-06,NA(),SQRT(MAX(0,(A64^3+a*A64+b))))</f>
        <v/>
      </c>
      <c r="C64">
        <f>IF((A64^3+a*A64+b)&lt;-1e-06,NA(),-SQRT(MAX(0,(A64^3+a*A64+b))))</f>
        <v/>
      </c>
    </row>
    <row r="65">
      <c r="A65">
        <f>A64+$B$1</f>
        <v/>
      </c>
      <c r="B65">
        <f>IF((A65^3+a*A65+b)&lt;-1e-06,NA(),SQRT(MAX(0,(A65^3+a*A65+b))))</f>
        <v/>
      </c>
      <c r="C65">
        <f>IF((A65^3+a*A65+b)&lt;-1e-06,NA(),-SQRT(MAX(0,(A65^3+a*A65+b))))</f>
        <v/>
      </c>
    </row>
    <row r="66">
      <c r="A66">
        <f>A65+$B$1</f>
        <v/>
      </c>
      <c r="B66">
        <f>IF((A66^3+a*A66+b)&lt;-1e-06,NA(),SQRT(MAX(0,(A66^3+a*A66+b))))</f>
        <v/>
      </c>
      <c r="C66">
        <f>IF((A66^3+a*A66+b)&lt;-1e-06,NA(),-SQRT(MAX(0,(A66^3+a*A66+b))))</f>
        <v/>
      </c>
    </row>
    <row r="67">
      <c r="A67">
        <f>A66+$B$1</f>
        <v/>
      </c>
      <c r="B67">
        <f>IF((A67^3+a*A67+b)&lt;-1e-06,NA(),SQRT(MAX(0,(A67^3+a*A67+b))))</f>
        <v/>
      </c>
      <c r="C67">
        <f>IF((A67^3+a*A67+b)&lt;-1e-06,NA(),-SQRT(MAX(0,(A67^3+a*A67+b))))</f>
        <v/>
      </c>
    </row>
    <row r="68">
      <c r="A68">
        <f>A67+$B$1</f>
        <v/>
      </c>
      <c r="B68">
        <f>IF((A68^3+a*A68+b)&lt;-1e-06,NA(),SQRT(MAX(0,(A68^3+a*A68+b))))</f>
        <v/>
      </c>
      <c r="C68">
        <f>IF((A68^3+a*A68+b)&lt;-1e-06,NA(),-SQRT(MAX(0,(A68^3+a*A68+b))))</f>
        <v/>
      </c>
    </row>
    <row r="69">
      <c r="A69">
        <f>A68+$B$1</f>
        <v/>
      </c>
      <c r="B69">
        <f>IF((A69^3+a*A69+b)&lt;-1e-06,NA(),SQRT(MAX(0,(A69^3+a*A69+b))))</f>
        <v/>
      </c>
      <c r="C69">
        <f>IF((A69^3+a*A69+b)&lt;-1e-06,NA(),-SQRT(MAX(0,(A69^3+a*A69+b))))</f>
        <v/>
      </c>
    </row>
    <row r="70">
      <c r="A70">
        <f>A69+$B$1</f>
        <v/>
      </c>
      <c r="B70">
        <f>IF((A70^3+a*A70+b)&lt;-1e-06,NA(),SQRT(MAX(0,(A70^3+a*A70+b))))</f>
        <v/>
      </c>
      <c r="C70">
        <f>IF((A70^3+a*A70+b)&lt;-1e-06,NA(),-SQRT(MAX(0,(A70^3+a*A70+b))))</f>
        <v/>
      </c>
    </row>
    <row r="71">
      <c r="A71">
        <f>A70+$B$1</f>
        <v/>
      </c>
      <c r="B71">
        <f>IF((A71^3+a*A71+b)&lt;-1e-06,NA(),SQRT(MAX(0,(A71^3+a*A71+b))))</f>
        <v/>
      </c>
      <c r="C71">
        <f>IF((A71^3+a*A71+b)&lt;-1e-06,NA(),-SQRT(MAX(0,(A71^3+a*A71+b))))</f>
        <v/>
      </c>
    </row>
    <row r="72">
      <c r="A72">
        <f>A71+$B$1</f>
        <v/>
      </c>
      <c r="B72">
        <f>IF((A72^3+a*A72+b)&lt;-1e-06,NA(),SQRT(MAX(0,(A72^3+a*A72+b))))</f>
        <v/>
      </c>
      <c r="C72">
        <f>IF((A72^3+a*A72+b)&lt;-1e-06,NA(),-SQRT(MAX(0,(A72^3+a*A72+b))))</f>
        <v/>
      </c>
    </row>
    <row r="73">
      <c r="A73">
        <f>A72+$B$1</f>
        <v/>
      </c>
      <c r="B73">
        <f>IF((A73^3+a*A73+b)&lt;-1e-06,NA(),SQRT(MAX(0,(A73^3+a*A73+b))))</f>
        <v/>
      </c>
      <c r="C73">
        <f>IF((A73^3+a*A73+b)&lt;-1e-06,NA(),-SQRT(MAX(0,(A73^3+a*A73+b))))</f>
        <v/>
      </c>
    </row>
    <row r="74">
      <c r="A74">
        <f>A73+$B$1</f>
        <v/>
      </c>
      <c r="B74">
        <f>IF((A74^3+a*A74+b)&lt;-1e-06,NA(),SQRT(MAX(0,(A74^3+a*A74+b))))</f>
        <v/>
      </c>
      <c r="C74">
        <f>IF((A74^3+a*A74+b)&lt;-1e-06,NA(),-SQRT(MAX(0,(A74^3+a*A74+b))))</f>
        <v/>
      </c>
    </row>
    <row r="75">
      <c r="A75">
        <f>A74+$B$1</f>
        <v/>
      </c>
      <c r="B75">
        <f>IF((A75^3+a*A75+b)&lt;-1e-06,NA(),SQRT(MAX(0,(A75^3+a*A75+b))))</f>
        <v/>
      </c>
      <c r="C75">
        <f>IF((A75^3+a*A75+b)&lt;-1e-06,NA(),-SQRT(MAX(0,(A75^3+a*A75+b))))</f>
        <v/>
      </c>
    </row>
    <row r="76">
      <c r="A76">
        <f>A75+$B$1</f>
        <v/>
      </c>
      <c r="B76">
        <f>IF((A76^3+a*A76+b)&lt;-1e-06,NA(),SQRT(MAX(0,(A76^3+a*A76+b))))</f>
        <v/>
      </c>
      <c r="C76">
        <f>IF((A76^3+a*A76+b)&lt;-1e-06,NA(),-SQRT(MAX(0,(A76^3+a*A76+b))))</f>
        <v/>
      </c>
    </row>
    <row r="77">
      <c r="A77">
        <f>A76+$B$1</f>
        <v/>
      </c>
      <c r="B77">
        <f>IF((A77^3+a*A77+b)&lt;-1e-06,NA(),SQRT(MAX(0,(A77^3+a*A77+b))))</f>
        <v/>
      </c>
      <c r="C77">
        <f>IF((A77^3+a*A77+b)&lt;-1e-06,NA(),-SQRT(MAX(0,(A77^3+a*A77+b))))</f>
        <v/>
      </c>
    </row>
    <row r="78">
      <c r="A78">
        <f>A77+$B$1</f>
        <v/>
      </c>
      <c r="B78">
        <f>IF((A78^3+a*A78+b)&lt;-1e-06,NA(),SQRT(MAX(0,(A78^3+a*A78+b))))</f>
        <v/>
      </c>
      <c r="C78">
        <f>IF((A78^3+a*A78+b)&lt;-1e-06,NA(),-SQRT(MAX(0,(A78^3+a*A78+b))))</f>
        <v/>
      </c>
    </row>
    <row r="79">
      <c r="A79">
        <f>A78+$B$1</f>
        <v/>
      </c>
      <c r="B79">
        <f>IF((A79^3+a*A79+b)&lt;-1e-06,NA(),SQRT(MAX(0,(A79^3+a*A79+b))))</f>
        <v/>
      </c>
      <c r="C79">
        <f>IF((A79^3+a*A79+b)&lt;-1e-06,NA(),-SQRT(MAX(0,(A79^3+a*A79+b))))</f>
        <v/>
      </c>
    </row>
    <row r="80">
      <c r="A80">
        <f>A79+$B$1</f>
        <v/>
      </c>
      <c r="B80">
        <f>IF((A80^3+a*A80+b)&lt;-1e-06,NA(),SQRT(MAX(0,(A80^3+a*A80+b))))</f>
        <v/>
      </c>
      <c r="C80">
        <f>IF((A80^3+a*A80+b)&lt;-1e-06,NA(),-SQRT(MAX(0,(A80^3+a*A80+b))))</f>
        <v/>
      </c>
    </row>
    <row r="81">
      <c r="A81">
        <f>A80+$B$1</f>
        <v/>
      </c>
      <c r="B81">
        <f>IF((A81^3+a*A81+b)&lt;-1e-06,NA(),SQRT(MAX(0,(A81^3+a*A81+b))))</f>
        <v/>
      </c>
      <c r="C81">
        <f>IF((A81^3+a*A81+b)&lt;-1e-06,NA(),-SQRT(MAX(0,(A81^3+a*A81+b))))</f>
        <v/>
      </c>
    </row>
    <row r="82">
      <c r="A82">
        <f>A81+$B$1</f>
        <v/>
      </c>
      <c r="B82">
        <f>IF((A82^3+a*A82+b)&lt;-1e-06,NA(),SQRT(MAX(0,(A82^3+a*A82+b))))</f>
        <v/>
      </c>
      <c r="C82">
        <f>IF((A82^3+a*A82+b)&lt;-1e-06,NA(),-SQRT(MAX(0,(A82^3+a*A82+b))))</f>
        <v/>
      </c>
    </row>
    <row r="83">
      <c r="A83">
        <f>A82+$B$1</f>
        <v/>
      </c>
      <c r="B83">
        <f>IF((A83^3+a*A83+b)&lt;-1e-06,NA(),SQRT(MAX(0,(A83^3+a*A83+b))))</f>
        <v/>
      </c>
      <c r="C83">
        <f>IF((A83^3+a*A83+b)&lt;-1e-06,NA(),-SQRT(MAX(0,(A83^3+a*A83+b))))</f>
        <v/>
      </c>
    </row>
    <row r="84">
      <c r="A84">
        <f>A83+$B$1</f>
        <v/>
      </c>
      <c r="B84">
        <f>IF((A84^3+a*A84+b)&lt;-1e-06,NA(),SQRT(MAX(0,(A84^3+a*A84+b))))</f>
        <v/>
      </c>
      <c r="C84">
        <f>IF((A84^3+a*A84+b)&lt;-1e-06,NA(),-SQRT(MAX(0,(A84^3+a*A84+b))))</f>
        <v/>
      </c>
    </row>
    <row r="85">
      <c r="A85">
        <f>A84+$B$1</f>
        <v/>
      </c>
      <c r="B85">
        <f>IF((A85^3+a*A85+b)&lt;-1e-06,NA(),SQRT(MAX(0,(A85^3+a*A85+b))))</f>
        <v/>
      </c>
      <c r="C85">
        <f>IF((A85^3+a*A85+b)&lt;-1e-06,NA(),-SQRT(MAX(0,(A85^3+a*A85+b))))</f>
        <v/>
      </c>
    </row>
    <row r="86">
      <c r="A86">
        <f>A85+$B$1</f>
        <v/>
      </c>
      <c r="B86">
        <f>IF((A86^3+a*A86+b)&lt;-1e-06,NA(),SQRT(MAX(0,(A86^3+a*A86+b))))</f>
        <v/>
      </c>
      <c r="C86">
        <f>IF((A86^3+a*A86+b)&lt;-1e-06,NA(),-SQRT(MAX(0,(A86^3+a*A86+b))))</f>
        <v/>
      </c>
    </row>
    <row r="87">
      <c r="A87">
        <f>A86+$B$1</f>
        <v/>
      </c>
      <c r="B87">
        <f>IF((A87^3+a*A87+b)&lt;-1e-06,NA(),SQRT(MAX(0,(A87^3+a*A87+b))))</f>
        <v/>
      </c>
      <c r="C87">
        <f>IF((A87^3+a*A87+b)&lt;-1e-06,NA(),-SQRT(MAX(0,(A87^3+a*A87+b))))</f>
        <v/>
      </c>
    </row>
    <row r="88">
      <c r="A88">
        <f>A87+$B$1</f>
        <v/>
      </c>
      <c r="B88">
        <f>IF((A88^3+a*A88+b)&lt;-1e-06,NA(),SQRT(MAX(0,(A88^3+a*A88+b))))</f>
        <v/>
      </c>
      <c r="C88">
        <f>IF((A88^3+a*A88+b)&lt;-1e-06,NA(),-SQRT(MAX(0,(A88^3+a*A88+b))))</f>
        <v/>
      </c>
    </row>
    <row r="89">
      <c r="A89">
        <f>A88+$B$1</f>
        <v/>
      </c>
      <c r="B89">
        <f>IF((A89^3+a*A89+b)&lt;-1e-06,NA(),SQRT(MAX(0,(A89^3+a*A89+b))))</f>
        <v/>
      </c>
      <c r="C89">
        <f>IF((A89^3+a*A89+b)&lt;-1e-06,NA(),-SQRT(MAX(0,(A89^3+a*A89+b))))</f>
        <v/>
      </c>
    </row>
    <row r="90">
      <c r="A90">
        <f>A89+$B$1</f>
        <v/>
      </c>
      <c r="B90">
        <f>IF((A90^3+a*A90+b)&lt;-1e-06,NA(),SQRT(MAX(0,(A90^3+a*A90+b))))</f>
        <v/>
      </c>
      <c r="C90">
        <f>IF((A90^3+a*A90+b)&lt;-1e-06,NA(),-SQRT(MAX(0,(A90^3+a*A90+b))))</f>
        <v/>
      </c>
    </row>
    <row r="91">
      <c r="A91">
        <f>A90+$B$1</f>
        <v/>
      </c>
      <c r="B91">
        <f>IF((A91^3+a*A91+b)&lt;-1e-06,NA(),SQRT(MAX(0,(A91^3+a*A91+b))))</f>
        <v/>
      </c>
      <c r="C91">
        <f>IF((A91^3+a*A91+b)&lt;-1e-06,NA(),-SQRT(MAX(0,(A91^3+a*A91+b))))</f>
        <v/>
      </c>
    </row>
    <row r="92">
      <c r="A92">
        <f>A91+$B$1</f>
        <v/>
      </c>
      <c r="B92">
        <f>IF((A92^3+a*A92+b)&lt;-1e-06,NA(),SQRT(MAX(0,(A92^3+a*A92+b))))</f>
        <v/>
      </c>
      <c r="C92">
        <f>IF((A92^3+a*A92+b)&lt;-1e-06,NA(),-SQRT(MAX(0,(A92^3+a*A92+b))))</f>
        <v/>
      </c>
    </row>
    <row r="93">
      <c r="A93">
        <f>A92+$B$1</f>
        <v/>
      </c>
      <c r="B93">
        <f>IF((A93^3+a*A93+b)&lt;-1e-06,NA(),SQRT(MAX(0,(A93^3+a*A93+b))))</f>
        <v/>
      </c>
      <c r="C93">
        <f>IF((A93^3+a*A93+b)&lt;-1e-06,NA(),-SQRT(MAX(0,(A93^3+a*A93+b))))</f>
        <v/>
      </c>
    </row>
    <row r="94">
      <c r="A94">
        <f>A93+$B$1</f>
        <v/>
      </c>
      <c r="B94">
        <f>IF((A94^3+a*A94+b)&lt;-1e-06,NA(),SQRT(MAX(0,(A94^3+a*A94+b))))</f>
        <v/>
      </c>
      <c r="C94">
        <f>IF((A94^3+a*A94+b)&lt;-1e-06,NA(),-SQRT(MAX(0,(A94^3+a*A94+b))))</f>
        <v/>
      </c>
    </row>
    <row r="95">
      <c r="A95">
        <f>A94+$B$1</f>
        <v/>
      </c>
      <c r="B95">
        <f>IF((A95^3+a*A95+b)&lt;-1e-06,NA(),SQRT(MAX(0,(A95^3+a*A95+b))))</f>
        <v/>
      </c>
      <c r="C95">
        <f>IF((A95^3+a*A95+b)&lt;-1e-06,NA(),-SQRT(MAX(0,(A95^3+a*A95+b))))</f>
        <v/>
      </c>
    </row>
    <row r="96">
      <c r="A96">
        <f>A95+$B$1</f>
        <v/>
      </c>
      <c r="B96">
        <f>IF((A96^3+a*A96+b)&lt;-1e-06,NA(),SQRT(MAX(0,(A96^3+a*A96+b))))</f>
        <v/>
      </c>
      <c r="C96">
        <f>IF((A96^3+a*A96+b)&lt;-1e-06,NA(),-SQRT(MAX(0,(A96^3+a*A96+b))))</f>
        <v/>
      </c>
    </row>
    <row r="97">
      <c r="A97">
        <f>A96+$B$1</f>
        <v/>
      </c>
      <c r="B97">
        <f>IF((A97^3+a*A97+b)&lt;-1e-06,NA(),SQRT(MAX(0,(A97^3+a*A97+b))))</f>
        <v/>
      </c>
      <c r="C97">
        <f>IF((A97^3+a*A97+b)&lt;-1e-06,NA(),-SQRT(MAX(0,(A97^3+a*A97+b))))</f>
        <v/>
      </c>
    </row>
    <row r="98">
      <c r="A98">
        <f>A97+$B$1</f>
        <v/>
      </c>
      <c r="B98">
        <f>IF((A98^3+a*A98+b)&lt;-1e-06,NA(),SQRT(MAX(0,(A98^3+a*A98+b))))</f>
        <v/>
      </c>
      <c r="C98">
        <f>IF((A98^3+a*A98+b)&lt;-1e-06,NA(),-SQRT(MAX(0,(A98^3+a*A98+b))))</f>
        <v/>
      </c>
    </row>
    <row r="99">
      <c r="A99">
        <f>A98+$B$1</f>
        <v/>
      </c>
      <c r="B99">
        <f>IF((A99^3+a*A99+b)&lt;-1e-06,NA(),SQRT(MAX(0,(A99^3+a*A99+b))))</f>
        <v/>
      </c>
      <c r="C99">
        <f>IF((A99^3+a*A99+b)&lt;-1e-06,NA(),-SQRT(MAX(0,(A99^3+a*A99+b))))</f>
        <v/>
      </c>
    </row>
    <row r="100">
      <c r="A100">
        <f>A99+$B$1</f>
        <v/>
      </c>
      <c r="B100">
        <f>IF((A100^3+a*A100+b)&lt;-1e-06,NA(),SQRT(MAX(0,(A100^3+a*A100+b))))</f>
        <v/>
      </c>
      <c r="C100">
        <f>IF((A100^3+a*A100+b)&lt;-1e-06,NA(),-SQRT(MAX(0,(A100^3+a*A100+b))))</f>
        <v/>
      </c>
    </row>
    <row r="101">
      <c r="A101">
        <f>A100+$B$1</f>
        <v/>
      </c>
      <c r="B101">
        <f>IF((A101^3+a*A101+b)&lt;-1e-06,NA(),SQRT(MAX(0,(A101^3+a*A101+b))))</f>
        <v/>
      </c>
      <c r="C101">
        <f>IF((A101^3+a*A101+b)&lt;-1e-06,NA(),-SQRT(MAX(0,(A101^3+a*A101+b))))</f>
        <v/>
      </c>
    </row>
    <row r="102">
      <c r="A102">
        <f>A101+$B$1</f>
        <v/>
      </c>
      <c r="B102">
        <f>IF((A102^3+a*A102+b)&lt;-1e-06,NA(),SQRT(MAX(0,(A102^3+a*A102+b))))</f>
        <v/>
      </c>
      <c r="C102">
        <f>IF((A102^3+a*A102+b)&lt;-1e-06,NA(),-SQRT(MAX(0,(A102^3+a*A102+b))))</f>
        <v/>
      </c>
    </row>
    <row r="103">
      <c r="A103">
        <f>A102+$B$1</f>
        <v/>
      </c>
      <c r="B103">
        <f>IF((A103^3+a*A103+b)&lt;-1e-06,NA(),SQRT(MAX(0,(A103^3+a*A103+b))))</f>
        <v/>
      </c>
      <c r="C103">
        <f>IF((A103^3+a*A103+b)&lt;-1e-06,NA(),-SQRT(MAX(0,(A103^3+a*A103+b))))</f>
        <v/>
      </c>
    </row>
    <row r="104">
      <c r="A104">
        <f>A103+$B$1</f>
        <v/>
      </c>
      <c r="B104">
        <f>IF((A104^3+a*A104+b)&lt;-1e-06,NA(),SQRT(MAX(0,(A104^3+a*A104+b))))</f>
        <v/>
      </c>
      <c r="C104">
        <f>IF((A104^3+a*A104+b)&lt;-1e-06,NA(),-SQRT(MAX(0,(A104^3+a*A104+b))))</f>
        <v/>
      </c>
    </row>
    <row r="105">
      <c r="A105">
        <f>A104+$B$1</f>
        <v/>
      </c>
      <c r="B105">
        <f>IF((A105^3+a*A105+b)&lt;-1e-06,NA(),SQRT(MAX(0,(A105^3+a*A105+b))))</f>
        <v/>
      </c>
      <c r="C105">
        <f>IF((A105^3+a*A105+b)&lt;-1e-06,NA(),-SQRT(MAX(0,(A105^3+a*A105+b))))</f>
        <v/>
      </c>
    </row>
    <row r="106">
      <c r="A106">
        <f>A105+$B$1</f>
        <v/>
      </c>
      <c r="B106">
        <f>IF((A106^3+a*A106+b)&lt;-1e-06,NA(),SQRT(MAX(0,(A106^3+a*A106+b))))</f>
        <v/>
      </c>
      <c r="C106">
        <f>IF((A106^3+a*A106+b)&lt;-1e-06,NA(),-SQRT(MAX(0,(A106^3+a*A106+b))))</f>
        <v/>
      </c>
    </row>
    <row r="107">
      <c r="A107">
        <f>A106+$B$1</f>
        <v/>
      </c>
      <c r="B107">
        <f>IF((A107^3+a*A107+b)&lt;-1e-06,NA(),SQRT(MAX(0,(A107^3+a*A107+b))))</f>
        <v/>
      </c>
      <c r="C107">
        <f>IF((A107^3+a*A107+b)&lt;-1e-06,NA(),-SQRT(MAX(0,(A107^3+a*A107+b))))</f>
        <v/>
      </c>
    </row>
    <row r="108">
      <c r="A108">
        <f>A107+$B$1</f>
        <v/>
      </c>
      <c r="B108">
        <f>IF((A108^3+a*A108+b)&lt;-1e-06,NA(),SQRT(MAX(0,(A108^3+a*A108+b))))</f>
        <v/>
      </c>
      <c r="C108">
        <f>IF((A108^3+a*A108+b)&lt;-1e-06,NA(),-SQRT(MAX(0,(A108^3+a*A108+b))))</f>
        <v/>
      </c>
    </row>
    <row r="109">
      <c r="A109">
        <f>A108+$B$1</f>
        <v/>
      </c>
      <c r="B109">
        <f>IF((A109^3+a*A109+b)&lt;-1e-06,NA(),SQRT(MAX(0,(A109^3+a*A109+b))))</f>
        <v/>
      </c>
      <c r="C109">
        <f>IF((A109^3+a*A109+b)&lt;-1e-06,NA(),-SQRT(MAX(0,(A109^3+a*A109+b))))</f>
        <v/>
      </c>
    </row>
    <row r="110">
      <c r="A110">
        <f>A109+$B$1</f>
        <v/>
      </c>
      <c r="B110">
        <f>IF((A110^3+a*A110+b)&lt;-1e-06,NA(),SQRT(MAX(0,(A110^3+a*A110+b))))</f>
        <v/>
      </c>
      <c r="C110">
        <f>IF((A110^3+a*A110+b)&lt;-1e-06,NA(),-SQRT(MAX(0,(A110^3+a*A110+b))))</f>
        <v/>
      </c>
    </row>
    <row r="111">
      <c r="A111">
        <f>A110+$B$1</f>
        <v/>
      </c>
      <c r="B111">
        <f>IF((A111^3+a*A111+b)&lt;-1e-06,NA(),SQRT(MAX(0,(A111^3+a*A111+b))))</f>
        <v/>
      </c>
      <c r="C111">
        <f>IF((A111^3+a*A111+b)&lt;-1e-06,NA(),-SQRT(MAX(0,(A111^3+a*A111+b))))</f>
        <v/>
      </c>
    </row>
    <row r="112">
      <c r="A112">
        <f>A111+$B$1</f>
        <v/>
      </c>
      <c r="B112">
        <f>IF((A112^3+a*A112+b)&lt;-1e-06,NA(),SQRT(MAX(0,(A112^3+a*A112+b))))</f>
        <v/>
      </c>
      <c r="C112">
        <f>IF((A112^3+a*A112+b)&lt;-1e-06,NA(),-SQRT(MAX(0,(A112^3+a*A112+b))))</f>
        <v/>
      </c>
    </row>
    <row r="113">
      <c r="A113">
        <f>A112+$B$1</f>
        <v/>
      </c>
      <c r="B113">
        <f>IF((A113^3+a*A113+b)&lt;-1e-06,NA(),SQRT(MAX(0,(A113^3+a*A113+b))))</f>
        <v/>
      </c>
      <c r="C113">
        <f>IF((A113^3+a*A113+b)&lt;-1e-06,NA(),-SQRT(MAX(0,(A113^3+a*A113+b))))</f>
        <v/>
      </c>
    </row>
    <row r="114">
      <c r="A114">
        <f>A113+$B$1</f>
        <v/>
      </c>
      <c r="B114">
        <f>IF((A114^3+a*A114+b)&lt;-1e-06,NA(),SQRT(MAX(0,(A114^3+a*A114+b))))</f>
        <v/>
      </c>
      <c r="C114">
        <f>IF((A114^3+a*A114+b)&lt;-1e-06,NA(),-SQRT(MAX(0,(A114^3+a*A114+b))))</f>
        <v/>
      </c>
    </row>
    <row r="115">
      <c r="A115">
        <f>A114+$B$1</f>
        <v/>
      </c>
      <c r="B115">
        <f>IF((A115^3+a*A115+b)&lt;-1e-06,NA(),SQRT(MAX(0,(A115^3+a*A115+b))))</f>
        <v/>
      </c>
      <c r="C115">
        <f>IF((A115^3+a*A115+b)&lt;-1e-06,NA(),-SQRT(MAX(0,(A115^3+a*A115+b))))</f>
        <v/>
      </c>
    </row>
    <row r="116">
      <c r="A116">
        <f>A115+$B$1</f>
        <v/>
      </c>
      <c r="B116">
        <f>IF((A116^3+a*A116+b)&lt;-1e-06,NA(),SQRT(MAX(0,(A116^3+a*A116+b))))</f>
        <v/>
      </c>
      <c r="C116">
        <f>IF((A116^3+a*A116+b)&lt;-1e-06,NA(),-SQRT(MAX(0,(A116^3+a*A116+b))))</f>
        <v/>
      </c>
    </row>
    <row r="117">
      <c r="A117">
        <f>A116+$B$1</f>
        <v/>
      </c>
      <c r="B117">
        <f>IF((A117^3+a*A117+b)&lt;-1e-06,NA(),SQRT(MAX(0,(A117^3+a*A117+b))))</f>
        <v/>
      </c>
      <c r="C117">
        <f>IF((A117^3+a*A117+b)&lt;-1e-06,NA(),-SQRT(MAX(0,(A117^3+a*A117+b))))</f>
        <v/>
      </c>
    </row>
    <row r="118">
      <c r="A118">
        <f>A117+$B$1</f>
        <v/>
      </c>
      <c r="B118">
        <f>IF((A118^3+a*A118+b)&lt;-1e-06,NA(),SQRT(MAX(0,(A118^3+a*A118+b))))</f>
        <v/>
      </c>
      <c r="C118">
        <f>IF((A118^3+a*A118+b)&lt;-1e-06,NA(),-SQRT(MAX(0,(A118^3+a*A118+b))))</f>
        <v/>
      </c>
    </row>
    <row r="119">
      <c r="A119">
        <f>A118+$B$1</f>
        <v/>
      </c>
      <c r="B119">
        <f>IF((A119^3+a*A119+b)&lt;-1e-06,NA(),SQRT(MAX(0,(A119^3+a*A119+b))))</f>
        <v/>
      </c>
      <c r="C119">
        <f>IF((A119^3+a*A119+b)&lt;-1e-06,NA(),-SQRT(MAX(0,(A119^3+a*A119+b))))</f>
        <v/>
      </c>
    </row>
    <row r="120">
      <c r="A120">
        <f>A119+$B$1</f>
        <v/>
      </c>
      <c r="B120">
        <f>IF((A120^3+a*A120+b)&lt;-1e-06,NA(),SQRT(MAX(0,(A120^3+a*A120+b))))</f>
        <v/>
      </c>
      <c r="C120">
        <f>IF((A120^3+a*A120+b)&lt;-1e-06,NA(),-SQRT(MAX(0,(A120^3+a*A120+b))))</f>
        <v/>
      </c>
    </row>
    <row r="121">
      <c r="A121">
        <f>A120+$B$1</f>
        <v/>
      </c>
      <c r="B121">
        <f>IF((A121^3+a*A121+b)&lt;-1e-06,NA(),SQRT(MAX(0,(A121^3+a*A121+b))))</f>
        <v/>
      </c>
      <c r="C121">
        <f>IF((A121^3+a*A121+b)&lt;-1e-06,NA(),-SQRT(MAX(0,(A121^3+a*A121+b))))</f>
        <v/>
      </c>
    </row>
    <row r="122">
      <c r="A122">
        <f>A121+$B$1</f>
        <v/>
      </c>
      <c r="B122">
        <f>IF((A122^3+a*A122+b)&lt;-1e-06,NA(),SQRT(MAX(0,(A122^3+a*A122+b))))</f>
        <v/>
      </c>
      <c r="C122">
        <f>IF((A122^3+a*A122+b)&lt;-1e-06,NA(),-SQRT(MAX(0,(A122^3+a*A122+b))))</f>
        <v/>
      </c>
    </row>
    <row r="123">
      <c r="A123">
        <f>A122+$B$1</f>
        <v/>
      </c>
      <c r="B123">
        <f>IF((A123^3+a*A123+b)&lt;-1e-06,NA(),SQRT(MAX(0,(A123^3+a*A123+b))))</f>
        <v/>
      </c>
      <c r="C123">
        <f>IF((A123^3+a*A123+b)&lt;-1e-06,NA(),-SQRT(MAX(0,(A123^3+a*A123+b))))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0"/>
  <sheetViews>
    <sheetView workbookViewId="0">
      <selection activeCell="A1" sqref="A1"/>
    </sheetView>
  </sheetViews>
  <sheetFormatPr baseColWidth="8" defaultRowHeight="15"/>
  <cols>
    <col width="7.5" customWidth="1" min="1" max="1"/>
    <col width="14.1640625" customWidth="1" min="2" max="2"/>
    <col width="5" customWidth="1" min="3" max="3"/>
    <col width="5" customWidth="1" min="4" max="4"/>
  </cols>
  <sheetData>
    <row r="1">
      <c r="A1" t="inlineStr">
        <is>
          <t>a</t>
        </is>
      </c>
      <c r="B1" t="n">
        <v>2</v>
      </c>
      <c r="F1" t="n">
        <v>0</v>
      </c>
      <c r="G1">
        <f>prime/2</f>
        <v/>
      </c>
    </row>
    <row r="2">
      <c r="A2" t="inlineStr">
        <is>
          <t>b</t>
        </is>
      </c>
      <c r="B2" t="n">
        <v>3</v>
      </c>
      <c r="F2">
        <f>prime-1</f>
        <v/>
      </c>
      <c r="G2">
        <f>prime/2</f>
        <v/>
      </c>
    </row>
    <row r="3">
      <c r="A3" t="inlineStr">
        <is>
          <t>prime</t>
        </is>
      </c>
      <c r="B3" t="n">
        <v>263</v>
      </c>
    </row>
    <row r="4">
      <c r="A4" t="inlineStr">
        <is>
          <t>cofactor</t>
        </is>
      </c>
      <c r="B4" t="n">
        <v>1</v>
      </c>
    </row>
    <row r="5">
      <c r="A5" t="inlineStr">
        <is>
          <t># points</t>
        </is>
      </c>
      <c r="B5">
        <f>COUNT(C8:C270)+COUNT(D8:D270)+1</f>
        <v/>
      </c>
    </row>
    <row r="7">
      <c r="A7" t="inlineStr">
        <is>
          <t>x</t>
        </is>
      </c>
      <c r="B7" t="inlineStr">
        <is>
          <t>x^3+a*x+b mod p</t>
        </is>
      </c>
      <c r="C7" t="inlineStr">
        <is>
          <t>y</t>
        </is>
      </c>
      <c r="D7" t="inlineStr">
        <is>
          <t>-y</t>
        </is>
      </c>
    </row>
    <row r="8">
      <c r="A8" t="n">
        <v>0</v>
      </c>
      <c r="B8">
        <f>MOD(A8^3+a*A8+b,prime)</f>
        <v/>
      </c>
      <c r="C8">
        <f>IF(MOD(B8,prime)=0,0,IF(SUMPRODUCT((MOD(ROW($A$1:$A$313)^2,prime)=MOD(B8,prime))*(ROW($A$1:$A$313)&lt;prime)*(MOD(ROW($A$1:$A$313),2)=1)*ROW($A$1:$A$313))=0,NA(),SUMPRODUCT((MOD(ROW($A$1:$A$313)^2,prime)=MOD(B8,prime))*(ROW($A$1:$A$313)&lt;prime)*(MOD(ROW($A$1:$A$313),2)=1)*ROW($A$1:$A$313))))</f>
        <v/>
      </c>
      <c r="D8">
        <f>IF(OR(NOT(ISNUMBER(C8)),C8=0),NA(),MOD(prime-C8,prime))</f>
        <v/>
      </c>
    </row>
    <row r="9">
      <c r="A9" t="n">
        <v>1</v>
      </c>
      <c r="B9">
        <f>MOD(A9^3+a*A9+b,prime)</f>
        <v/>
      </c>
      <c r="C9">
        <f>IF(MOD(B9,prime)=0,0,IF(SUMPRODUCT((MOD(ROW($A$1:$A$313)^2,prime)=MOD(B9,prime))*(ROW($A$1:$A$313)&lt;prime)*(MOD(ROW($A$1:$A$313),2)=1)*ROW($A$1:$A$313))=0,NA(),SUMPRODUCT((MOD(ROW($A$1:$A$313)^2,prime)=MOD(B9,prime))*(ROW($A$1:$A$313)&lt;prime)*(MOD(ROW($A$1:$A$313),2)=1)*ROW($A$1:$A$313))))</f>
        <v/>
      </c>
      <c r="D9">
        <f>IF(OR(NOT(ISNUMBER(C9)),C9=0),NA(),MOD(prime-C9,prime))</f>
        <v/>
      </c>
    </row>
    <row r="10">
      <c r="A10" t="n">
        <v>2</v>
      </c>
      <c r="B10">
        <f>MOD(A10^3+a*A10+b,prime)</f>
        <v/>
      </c>
      <c r="C10">
        <f>IF(MOD(B10,prime)=0,0,IF(SUMPRODUCT((MOD(ROW($A$1:$A$313)^2,prime)=MOD(B10,prime))*(ROW($A$1:$A$313)&lt;prime)*(MOD(ROW($A$1:$A$313),2)=1)*ROW($A$1:$A$313))=0,NA(),SUMPRODUCT((MOD(ROW($A$1:$A$313)^2,prime)=MOD(B10,prime))*(ROW($A$1:$A$313)&lt;prime)*(MOD(ROW($A$1:$A$313),2)=1)*ROW($A$1:$A$313))))</f>
        <v/>
      </c>
      <c r="D10">
        <f>IF(OR(NOT(ISNUMBER(C10)),C10=0),NA(),MOD(prime-C10,prime))</f>
        <v/>
      </c>
    </row>
    <row r="11">
      <c r="A11" t="n">
        <v>3</v>
      </c>
      <c r="B11">
        <f>MOD(A11^3+a*A11+b,prime)</f>
        <v/>
      </c>
      <c r="C11">
        <f>IF(MOD(B11,prime)=0,0,IF(SUMPRODUCT((MOD(ROW($A$1:$A$313)^2,prime)=MOD(B11,prime))*(ROW($A$1:$A$313)&lt;prime)*(MOD(ROW($A$1:$A$313),2)=1)*ROW($A$1:$A$313))=0,NA(),SUMPRODUCT((MOD(ROW($A$1:$A$313)^2,prime)=MOD(B11,prime))*(ROW($A$1:$A$313)&lt;prime)*(MOD(ROW($A$1:$A$313),2)=1)*ROW($A$1:$A$313))))</f>
        <v/>
      </c>
      <c r="D11">
        <f>IF(OR(NOT(ISNUMBER(C11)),C11=0),NA(),MOD(prime-C11,prime))</f>
        <v/>
      </c>
    </row>
    <row r="12">
      <c r="A12" t="n">
        <v>4</v>
      </c>
      <c r="B12">
        <f>MOD(A12^3+a*A12+b,prime)</f>
        <v/>
      </c>
      <c r="C12">
        <f>IF(MOD(B12,prime)=0,0,IF(SUMPRODUCT((MOD(ROW($A$1:$A$313)^2,prime)=MOD(B12,prime))*(ROW($A$1:$A$313)&lt;prime)*(MOD(ROW($A$1:$A$313),2)=1)*ROW($A$1:$A$313))=0,NA(),SUMPRODUCT((MOD(ROW($A$1:$A$313)^2,prime)=MOD(B12,prime))*(ROW($A$1:$A$313)&lt;prime)*(MOD(ROW($A$1:$A$313),2)=1)*ROW($A$1:$A$313))))</f>
        <v/>
      </c>
      <c r="D12">
        <f>IF(OR(NOT(ISNUMBER(C12)),C12=0),NA(),MOD(prime-C12,prime))</f>
        <v/>
      </c>
    </row>
    <row r="13">
      <c r="A13" t="n">
        <v>5</v>
      </c>
      <c r="B13">
        <f>MOD(A13^3+a*A13+b,prime)</f>
        <v/>
      </c>
      <c r="C13">
        <f>IF(MOD(B13,prime)=0,0,IF(SUMPRODUCT((MOD(ROW($A$1:$A$313)^2,prime)=MOD(B13,prime))*(ROW($A$1:$A$313)&lt;prime)*(MOD(ROW($A$1:$A$313),2)=1)*ROW($A$1:$A$313))=0,NA(),SUMPRODUCT((MOD(ROW($A$1:$A$313)^2,prime)=MOD(B13,prime))*(ROW($A$1:$A$313)&lt;prime)*(MOD(ROW($A$1:$A$313),2)=1)*ROW($A$1:$A$313))))</f>
        <v/>
      </c>
      <c r="D13">
        <f>IF(OR(NOT(ISNUMBER(C13)),C13=0),NA(),MOD(prime-C13,prime))</f>
        <v/>
      </c>
    </row>
    <row r="14">
      <c r="A14" t="n">
        <v>6</v>
      </c>
      <c r="B14">
        <f>MOD(A14^3+a*A14+b,prime)</f>
        <v/>
      </c>
      <c r="C14">
        <f>IF(MOD(B14,prime)=0,0,IF(SUMPRODUCT((MOD(ROW($A$1:$A$313)^2,prime)=MOD(B14,prime))*(ROW($A$1:$A$313)&lt;prime)*(MOD(ROW($A$1:$A$313),2)=1)*ROW($A$1:$A$313))=0,NA(),SUMPRODUCT((MOD(ROW($A$1:$A$313)^2,prime)=MOD(B14,prime))*(ROW($A$1:$A$313)&lt;prime)*(MOD(ROW($A$1:$A$313),2)=1)*ROW($A$1:$A$313))))</f>
        <v/>
      </c>
      <c r="D14">
        <f>IF(OR(NOT(ISNUMBER(C14)),C14=0),NA(),MOD(prime-C14,prime))</f>
        <v/>
      </c>
    </row>
    <row r="15">
      <c r="A15" t="n">
        <v>7</v>
      </c>
      <c r="B15">
        <f>MOD(A15^3+a*A15+b,prime)</f>
        <v/>
      </c>
      <c r="C15">
        <f>IF(MOD(B15,prime)=0,0,IF(SUMPRODUCT((MOD(ROW($A$1:$A$313)^2,prime)=MOD(B15,prime))*(ROW($A$1:$A$313)&lt;prime)*(MOD(ROW($A$1:$A$313),2)=1)*ROW($A$1:$A$313))=0,NA(),SUMPRODUCT((MOD(ROW($A$1:$A$313)^2,prime)=MOD(B15,prime))*(ROW($A$1:$A$313)&lt;prime)*(MOD(ROW($A$1:$A$313),2)=1)*ROW($A$1:$A$313))))</f>
        <v/>
      </c>
      <c r="D15">
        <f>IF(OR(NOT(ISNUMBER(C15)),C15=0),NA(),MOD(prime-C15,prime))</f>
        <v/>
      </c>
    </row>
    <row r="16">
      <c r="A16" t="n">
        <v>8</v>
      </c>
      <c r="B16">
        <f>MOD(A16^3+a*A16+b,prime)</f>
        <v/>
      </c>
      <c r="C16">
        <f>IF(MOD(B16,prime)=0,0,IF(SUMPRODUCT((MOD(ROW($A$1:$A$313)^2,prime)=MOD(B16,prime))*(ROW($A$1:$A$313)&lt;prime)*(MOD(ROW($A$1:$A$313),2)=1)*ROW($A$1:$A$313))=0,NA(),SUMPRODUCT((MOD(ROW($A$1:$A$313)^2,prime)=MOD(B16,prime))*(ROW($A$1:$A$313)&lt;prime)*(MOD(ROW($A$1:$A$313),2)=1)*ROW($A$1:$A$313))))</f>
        <v/>
      </c>
      <c r="D16">
        <f>IF(OR(NOT(ISNUMBER(C16)),C16=0),NA(),MOD(prime-C16,prime))</f>
        <v/>
      </c>
    </row>
    <row r="17">
      <c r="A17" t="n">
        <v>9</v>
      </c>
      <c r="B17">
        <f>MOD(A17^3+a*A17+b,prime)</f>
        <v/>
      </c>
      <c r="C17">
        <f>IF(MOD(B17,prime)=0,0,IF(SUMPRODUCT((MOD(ROW($A$1:$A$313)^2,prime)=MOD(B17,prime))*(ROW($A$1:$A$313)&lt;prime)*(MOD(ROW($A$1:$A$313),2)=1)*ROW($A$1:$A$313))=0,NA(),SUMPRODUCT((MOD(ROW($A$1:$A$313)^2,prime)=MOD(B17,prime))*(ROW($A$1:$A$313)&lt;prime)*(MOD(ROW($A$1:$A$313),2)=1)*ROW($A$1:$A$313))))</f>
        <v/>
      </c>
      <c r="D17">
        <f>IF(OR(NOT(ISNUMBER(C17)),C17=0),NA(),MOD(prime-C17,prime))</f>
        <v/>
      </c>
    </row>
    <row r="18">
      <c r="A18" t="n">
        <v>10</v>
      </c>
      <c r="B18">
        <f>MOD(A18^3+a*A18+b,prime)</f>
        <v/>
      </c>
      <c r="C18">
        <f>IF(MOD(B18,prime)=0,0,IF(SUMPRODUCT((MOD(ROW($A$1:$A$313)^2,prime)=MOD(B18,prime))*(ROW($A$1:$A$313)&lt;prime)*(MOD(ROW($A$1:$A$313),2)=1)*ROW($A$1:$A$313))=0,NA(),SUMPRODUCT((MOD(ROW($A$1:$A$313)^2,prime)=MOD(B18,prime))*(ROW($A$1:$A$313)&lt;prime)*(MOD(ROW($A$1:$A$313),2)=1)*ROW($A$1:$A$313))))</f>
        <v/>
      </c>
      <c r="D18">
        <f>IF(OR(NOT(ISNUMBER(C18)),C18=0),NA(),MOD(prime-C18,prime))</f>
        <v/>
      </c>
    </row>
    <row r="19">
      <c r="A19" t="n">
        <v>11</v>
      </c>
      <c r="B19">
        <f>MOD(A19^3+a*A19+b,prime)</f>
        <v/>
      </c>
      <c r="C19">
        <f>IF(MOD(B19,prime)=0,0,IF(SUMPRODUCT((MOD(ROW($A$1:$A$313)^2,prime)=MOD(B19,prime))*(ROW($A$1:$A$313)&lt;prime)*(MOD(ROW($A$1:$A$313),2)=1)*ROW($A$1:$A$313))=0,NA(),SUMPRODUCT((MOD(ROW($A$1:$A$313)^2,prime)=MOD(B19,prime))*(ROW($A$1:$A$313)&lt;prime)*(MOD(ROW($A$1:$A$313),2)=1)*ROW($A$1:$A$313))))</f>
        <v/>
      </c>
      <c r="D19">
        <f>IF(OR(NOT(ISNUMBER(C19)),C19=0),NA(),MOD(prime-C19,prime))</f>
        <v/>
      </c>
    </row>
    <row r="20">
      <c r="A20" t="n">
        <v>12</v>
      </c>
      <c r="B20">
        <f>MOD(A20^3+a*A20+b,prime)</f>
        <v/>
      </c>
      <c r="C20">
        <f>IF(MOD(B20,prime)=0,0,IF(SUMPRODUCT((MOD(ROW($A$1:$A$313)^2,prime)=MOD(B20,prime))*(ROW($A$1:$A$313)&lt;prime)*(MOD(ROW($A$1:$A$313),2)=1)*ROW($A$1:$A$313))=0,NA(),SUMPRODUCT((MOD(ROW($A$1:$A$313)^2,prime)=MOD(B20,prime))*(ROW($A$1:$A$313)&lt;prime)*(MOD(ROW($A$1:$A$313),2)=1)*ROW($A$1:$A$313))))</f>
        <v/>
      </c>
      <c r="D20">
        <f>IF(OR(NOT(ISNUMBER(C20)),C20=0),NA(),MOD(prime-C20,prime))</f>
        <v/>
      </c>
    </row>
    <row r="21">
      <c r="A21" t="n">
        <v>13</v>
      </c>
      <c r="B21">
        <f>MOD(A21^3+a*A21+b,prime)</f>
        <v/>
      </c>
      <c r="C21">
        <f>IF(MOD(B21,prime)=0,0,IF(SUMPRODUCT((MOD(ROW($A$1:$A$313)^2,prime)=MOD(B21,prime))*(ROW($A$1:$A$313)&lt;prime)*(MOD(ROW($A$1:$A$313),2)=1)*ROW($A$1:$A$313))=0,NA(),SUMPRODUCT((MOD(ROW($A$1:$A$313)^2,prime)=MOD(B21,prime))*(ROW($A$1:$A$313)&lt;prime)*(MOD(ROW($A$1:$A$313),2)=1)*ROW($A$1:$A$313))))</f>
        <v/>
      </c>
      <c r="D21">
        <f>IF(OR(NOT(ISNUMBER(C21)),C21=0),NA(),MOD(prime-C21,prime))</f>
        <v/>
      </c>
    </row>
    <row r="22">
      <c r="A22" t="n">
        <v>14</v>
      </c>
      <c r="B22">
        <f>MOD(A22^3+a*A22+b,prime)</f>
        <v/>
      </c>
      <c r="C22">
        <f>IF(MOD(B22,prime)=0,0,IF(SUMPRODUCT((MOD(ROW($A$1:$A$313)^2,prime)=MOD(B22,prime))*(ROW($A$1:$A$313)&lt;prime)*(MOD(ROW($A$1:$A$313),2)=1)*ROW($A$1:$A$313))=0,NA(),SUMPRODUCT((MOD(ROW($A$1:$A$313)^2,prime)=MOD(B22,prime))*(ROW($A$1:$A$313)&lt;prime)*(MOD(ROW($A$1:$A$313),2)=1)*ROW($A$1:$A$313))))</f>
        <v/>
      </c>
      <c r="D22">
        <f>IF(OR(NOT(ISNUMBER(C22)),C22=0),NA(),MOD(prime-C22,prime))</f>
        <v/>
      </c>
    </row>
    <row r="23">
      <c r="A23" t="n">
        <v>15</v>
      </c>
      <c r="B23">
        <f>MOD(A23^3+a*A23+b,prime)</f>
        <v/>
      </c>
      <c r="C23">
        <f>IF(MOD(B23,prime)=0,0,IF(SUMPRODUCT((MOD(ROW($A$1:$A$313)^2,prime)=MOD(B23,prime))*(ROW($A$1:$A$313)&lt;prime)*(MOD(ROW($A$1:$A$313),2)=1)*ROW($A$1:$A$313))=0,NA(),SUMPRODUCT((MOD(ROW($A$1:$A$313)^2,prime)=MOD(B23,prime))*(ROW($A$1:$A$313)&lt;prime)*(MOD(ROW($A$1:$A$313),2)=1)*ROW($A$1:$A$313))))</f>
        <v/>
      </c>
      <c r="D23">
        <f>IF(OR(NOT(ISNUMBER(C23)),C23=0),NA(),MOD(prime-C23,prime))</f>
        <v/>
      </c>
    </row>
    <row r="24">
      <c r="A24" t="n">
        <v>16</v>
      </c>
      <c r="B24">
        <f>MOD(A24^3+a*A24+b,prime)</f>
        <v/>
      </c>
      <c r="C24">
        <f>IF(MOD(B24,prime)=0,0,IF(SUMPRODUCT((MOD(ROW($A$1:$A$313)^2,prime)=MOD(B24,prime))*(ROW($A$1:$A$313)&lt;prime)*(MOD(ROW($A$1:$A$313),2)=1)*ROW($A$1:$A$313))=0,NA(),SUMPRODUCT((MOD(ROW($A$1:$A$313)^2,prime)=MOD(B24,prime))*(ROW($A$1:$A$313)&lt;prime)*(MOD(ROW($A$1:$A$313),2)=1)*ROW($A$1:$A$313))))</f>
        <v/>
      </c>
      <c r="D24">
        <f>IF(OR(NOT(ISNUMBER(C24)),C24=0),NA(),MOD(prime-C24,prime))</f>
        <v/>
      </c>
    </row>
    <row r="25">
      <c r="A25" t="n">
        <v>17</v>
      </c>
      <c r="B25">
        <f>MOD(A25^3+a*A25+b,prime)</f>
        <v/>
      </c>
      <c r="C25">
        <f>IF(MOD(B25,prime)=0,0,IF(SUMPRODUCT((MOD(ROW($A$1:$A$313)^2,prime)=MOD(B25,prime))*(ROW($A$1:$A$313)&lt;prime)*(MOD(ROW($A$1:$A$313),2)=1)*ROW($A$1:$A$313))=0,NA(),SUMPRODUCT((MOD(ROW($A$1:$A$313)^2,prime)=MOD(B25,prime))*(ROW($A$1:$A$313)&lt;prime)*(MOD(ROW($A$1:$A$313),2)=1)*ROW($A$1:$A$313))))</f>
        <v/>
      </c>
      <c r="D25">
        <f>IF(OR(NOT(ISNUMBER(C25)),C25=0),NA(),MOD(prime-C25,prime))</f>
        <v/>
      </c>
    </row>
    <row r="26">
      <c r="A26" t="n">
        <v>18</v>
      </c>
      <c r="B26">
        <f>MOD(A26^3+a*A26+b,prime)</f>
        <v/>
      </c>
      <c r="C26">
        <f>IF(MOD(B26,prime)=0,0,IF(SUMPRODUCT((MOD(ROW($A$1:$A$313)^2,prime)=MOD(B26,prime))*(ROW($A$1:$A$313)&lt;prime)*(MOD(ROW($A$1:$A$313),2)=1)*ROW($A$1:$A$313))=0,NA(),SUMPRODUCT((MOD(ROW($A$1:$A$313)^2,prime)=MOD(B26,prime))*(ROW($A$1:$A$313)&lt;prime)*(MOD(ROW($A$1:$A$313),2)=1)*ROW($A$1:$A$313))))</f>
        <v/>
      </c>
      <c r="D26">
        <f>IF(OR(NOT(ISNUMBER(C26)),C26=0),NA(),MOD(prime-C26,prime))</f>
        <v/>
      </c>
    </row>
    <row r="27">
      <c r="A27" t="n">
        <v>19</v>
      </c>
      <c r="B27">
        <f>MOD(A27^3+a*A27+b,prime)</f>
        <v/>
      </c>
      <c r="C27">
        <f>IF(MOD(B27,prime)=0,0,IF(SUMPRODUCT((MOD(ROW($A$1:$A$313)^2,prime)=MOD(B27,prime))*(ROW($A$1:$A$313)&lt;prime)*(MOD(ROW($A$1:$A$313),2)=1)*ROW($A$1:$A$313))=0,NA(),SUMPRODUCT((MOD(ROW($A$1:$A$313)^2,prime)=MOD(B27,prime))*(ROW($A$1:$A$313)&lt;prime)*(MOD(ROW($A$1:$A$313),2)=1)*ROW($A$1:$A$313))))</f>
        <v/>
      </c>
      <c r="D27">
        <f>IF(OR(NOT(ISNUMBER(C27)),C27=0),NA(),MOD(prime-C27,prime))</f>
        <v/>
      </c>
    </row>
    <row r="28">
      <c r="A28" t="n">
        <v>20</v>
      </c>
      <c r="B28">
        <f>MOD(A28^3+a*A28+b,prime)</f>
        <v/>
      </c>
      <c r="C28">
        <f>IF(MOD(B28,prime)=0,0,IF(SUMPRODUCT((MOD(ROW($A$1:$A$313)^2,prime)=MOD(B28,prime))*(ROW($A$1:$A$313)&lt;prime)*(MOD(ROW($A$1:$A$313),2)=1)*ROW($A$1:$A$313))=0,NA(),SUMPRODUCT((MOD(ROW($A$1:$A$313)^2,prime)=MOD(B28,prime))*(ROW($A$1:$A$313)&lt;prime)*(MOD(ROW($A$1:$A$313),2)=1)*ROW($A$1:$A$313))))</f>
        <v/>
      </c>
      <c r="D28">
        <f>IF(OR(NOT(ISNUMBER(C28)),C28=0),NA(),MOD(prime-C28,prime))</f>
        <v/>
      </c>
    </row>
    <row r="29">
      <c r="A29" t="n">
        <v>21</v>
      </c>
      <c r="B29">
        <f>MOD(A29^3+a*A29+b,prime)</f>
        <v/>
      </c>
      <c r="C29">
        <f>IF(MOD(B29,prime)=0,0,IF(SUMPRODUCT((MOD(ROW($A$1:$A$313)^2,prime)=MOD(B29,prime))*(ROW($A$1:$A$313)&lt;prime)*(MOD(ROW($A$1:$A$313),2)=1)*ROW($A$1:$A$313))=0,NA(),SUMPRODUCT((MOD(ROW($A$1:$A$313)^2,prime)=MOD(B29,prime))*(ROW($A$1:$A$313)&lt;prime)*(MOD(ROW($A$1:$A$313),2)=1)*ROW($A$1:$A$313))))</f>
        <v/>
      </c>
      <c r="D29">
        <f>IF(OR(NOT(ISNUMBER(C29)),C29=0),NA(),MOD(prime-C29,prime))</f>
        <v/>
      </c>
    </row>
    <row r="30">
      <c r="A30" t="n">
        <v>22</v>
      </c>
      <c r="B30">
        <f>MOD(A30^3+a*A30+b,prime)</f>
        <v/>
      </c>
      <c r="C30">
        <f>IF(MOD(B30,prime)=0,0,IF(SUMPRODUCT((MOD(ROW($A$1:$A$313)^2,prime)=MOD(B30,prime))*(ROW($A$1:$A$313)&lt;prime)*(MOD(ROW($A$1:$A$313),2)=1)*ROW($A$1:$A$313))=0,NA(),SUMPRODUCT((MOD(ROW($A$1:$A$313)^2,prime)=MOD(B30,prime))*(ROW($A$1:$A$313)&lt;prime)*(MOD(ROW($A$1:$A$313),2)=1)*ROW($A$1:$A$313))))</f>
        <v/>
      </c>
      <c r="D30">
        <f>IF(OR(NOT(ISNUMBER(C30)),C30=0),NA(),MOD(prime-C30,prime))</f>
        <v/>
      </c>
    </row>
    <row r="31">
      <c r="A31" t="n">
        <v>23</v>
      </c>
      <c r="B31">
        <f>MOD(A31^3+a*A31+b,prime)</f>
        <v/>
      </c>
      <c r="C31">
        <f>IF(MOD(B31,prime)=0,0,IF(SUMPRODUCT((MOD(ROW($A$1:$A$313)^2,prime)=MOD(B31,prime))*(ROW($A$1:$A$313)&lt;prime)*(MOD(ROW($A$1:$A$313),2)=1)*ROW($A$1:$A$313))=0,NA(),SUMPRODUCT((MOD(ROW($A$1:$A$313)^2,prime)=MOD(B31,prime))*(ROW($A$1:$A$313)&lt;prime)*(MOD(ROW($A$1:$A$313),2)=1)*ROW($A$1:$A$313))))</f>
        <v/>
      </c>
      <c r="D31">
        <f>IF(OR(NOT(ISNUMBER(C31)),C31=0),NA(),MOD(prime-C31,prime))</f>
        <v/>
      </c>
    </row>
    <row r="32">
      <c r="A32" t="n">
        <v>24</v>
      </c>
      <c r="B32">
        <f>MOD(A32^3+a*A32+b,prime)</f>
        <v/>
      </c>
      <c r="C32">
        <f>IF(MOD(B32,prime)=0,0,IF(SUMPRODUCT((MOD(ROW($A$1:$A$313)^2,prime)=MOD(B32,prime))*(ROW($A$1:$A$313)&lt;prime)*(MOD(ROW($A$1:$A$313),2)=1)*ROW($A$1:$A$313))=0,NA(),SUMPRODUCT((MOD(ROW($A$1:$A$313)^2,prime)=MOD(B32,prime))*(ROW($A$1:$A$313)&lt;prime)*(MOD(ROW($A$1:$A$313),2)=1)*ROW($A$1:$A$313))))</f>
        <v/>
      </c>
      <c r="D32">
        <f>IF(OR(NOT(ISNUMBER(C32)),C32=0),NA(),MOD(prime-C32,prime))</f>
        <v/>
      </c>
    </row>
    <row r="33">
      <c r="A33" t="n">
        <v>25</v>
      </c>
      <c r="B33">
        <f>MOD(A33^3+a*A33+b,prime)</f>
        <v/>
      </c>
      <c r="C33">
        <f>IF(MOD(B33,prime)=0,0,IF(SUMPRODUCT((MOD(ROW($A$1:$A$313)^2,prime)=MOD(B33,prime))*(ROW($A$1:$A$313)&lt;prime)*(MOD(ROW($A$1:$A$313),2)=1)*ROW($A$1:$A$313))=0,NA(),SUMPRODUCT((MOD(ROW($A$1:$A$313)^2,prime)=MOD(B33,prime))*(ROW($A$1:$A$313)&lt;prime)*(MOD(ROW($A$1:$A$313),2)=1)*ROW($A$1:$A$313))))</f>
        <v/>
      </c>
      <c r="D33">
        <f>IF(OR(NOT(ISNUMBER(C33)),C33=0),NA(),MOD(prime-C33,prime))</f>
        <v/>
      </c>
    </row>
    <row r="34">
      <c r="A34" t="n">
        <v>26</v>
      </c>
      <c r="B34">
        <f>MOD(A34^3+a*A34+b,prime)</f>
        <v/>
      </c>
      <c r="C34">
        <f>IF(MOD(B34,prime)=0,0,IF(SUMPRODUCT((MOD(ROW($A$1:$A$313)^2,prime)=MOD(B34,prime))*(ROW($A$1:$A$313)&lt;prime)*(MOD(ROW($A$1:$A$313),2)=1)*ROW($A$1:$A$313))=0,NA(),SUMPRODUCT((MOD(ROW($A$1:$A$313)^2,prime)=MOD(B34,prime))*(ROW($A$1:$A$313)&lt;prime)*(MOD(ROW($A$1:$A$313),2)=1)*ROW($A$1:$A$313))))</f>
        <v/>
      </c>
      <c r="D34">
        <f>IF(OR(NOT(ISNUMBER(C34)),C34=0),NA(),MOD(prime-C34,prime))</f>
        <v/>
      </c>
    </row>
    <row r="35">
      <c r="A35" t="n">
        <v>27</v>
      </c>
      <c r="B35">
        <f>MOD(A35^3+a*A35+b,prime)</f>
        <v/>
      </c>
      <c r="C35">
        <f>IF(MOD(B35,prime)=0,0,IF(SUMPRODUCT((MOD(ROW($A$1:$A$313)^2,prime)=MOD(B35,prime))*(ROW($A$1:$A$313)&lt;prime)*(MOD(ROW($A$1:$A$313),2)=1)*ROW($A$1:$A$313))=0,NA(),SUMPRODUCT((MOD(ROW($A$1:$A$313)^2,prime)=MOD(B35,prime))*(ROW($A$1:$A$313)&lt;prime)*(MOD(ROW($A$1:$A$313),2)=1)*ROW($A$1:$A$313))))</f>
        <v/>
      </c>
      <c r="D35">
        <f>IF(OR(NOT(ISNUMBER(C35)),C35=0),NA(),MOD(prime-C35,prime))</f>
        <v/>
      </c>
    </row>
    <row r="36">
      <c r="A36" t="n">
        <v>28</v>
      </c>
      <c r="B36">
        <f>MOD(A36^3+a*A36+b,prime)</f>
        <v/>
      </c>
      <c r="C36">
        <f>IF(MOD(B36,prime)=0,0,IF(SUMPRODUCT((MOD(ROW($A$1:$A$313)^2,prime)=MOD(B36,prime))*(ROW($A$1:$A$313)&lt;prime)*(MOD(ROW($A$1:$A$313),2)=1)*ROW($A$1:$A$313))=0,NA(),SUMPRODUCT((MOD(ROW($A$1:$A$313)^2,prime)=MOD(B36,prime))*(ROW($A$1:$A$313)&lt;prime)*(MOD(ROW($A$1:$A$313),2)=1)*ROW($A$1:$A$313))))</f>
        <v/>
      </c>
      <c r="D36">
        <f>IF(OR(NOT(ISNUMBER(C36)),C36=0),NA(),MOD(prime-C36,prime))</f>
        <v/>
      </c>
    </row>
    <row r="37">
      <c r="A37" t="n">
        <v>29</v>
      </c>
      <c r="B37">
        <f>MOD(A37^3+a*A37+b,prime)</f>
        <v/>
      </c>
      <c r="C37">
        <f>IF(MOD(B37,prime)=0,0,IF(SUMPRODUCT((MOD(ROW($A$1:$A$313)^2,prime)=MOD(B37,prime))*(ROW($A$1:$A$313)&lt;prime)*(MOD(ROW($A$1:$A$313),2)=1)*ROW($A$1:$A$313))=0,NA(),SUMPRODUCT((MOD(ROW($A$1:$A$313)^2,prime)=MOD(B37,prime))*(ROW($A$1:$A$313)&lt;prime)*(MOD(ROW($A$1:$A$313),2)=1)*ROW($A$1:$A$313))))</f>
        <v/>
      </c>
      <c r="D37">
        <f>IF(OR(NOT(ISNUMBER(C37)),C37=0),NA(),MOD(prime-C37,prime))</f>
        <v/>
      </c>
    </row>
    <row r="38">
      <c r="A38" t="n">
        <v>30</v>
      </c>
      <c r="B38">
        <f>MOD(A38^3+a*A38+b,prime)</f>
        <v/>
      </c>
      <c r="C38">
        <f>IF(MOD(B38,prime)=0,0,IF(SUMPRODUCT((MOD(ROW($A$1:$A$313)^2,prime)=MOD(B38,prime))*(ROW($A$1:$A$313)&lt;prime)*(MOD(ROW($A$1:$A$313),2)=1)*ROW($A$1:$A$313))=0,NA(),SUMPRODUCT((MOD(ROW($A$1:$A$313)^2,prime)=MOD(B38,prime))*(ROW($A$1:$A$313)&lt;prime)*(MOD(ROW($A$1:$A$313),2)=1)*ROW($A$1:$A$313))))</f>
        <v/>
      </c>
      <c r="D38">
        <f>IF(OR(NOT(ISNUMBER(C38)),C38=0),NA(),MOD(prime-C38,prime))</f>
        <v/>
      </c>
    </row>
    <row r="39">
      <c r="A39" t="n">
        <v>31</v>
      </c>
      <c r="B39">
        <f>MOD(A39^3+a*A39+b,prime)</f>
        <v/>
      </c>
      <c r="C39">
        <f>IF(MOD(B39,prime)=0,0,IF(SUMPRODUCT((MOD(ROW($A$1:$A$313)^2,prime)=MOD(B39,prime))*(ROW($A$1:$A$313)&lt;prime)*(MOD(ROW($A$1:$A$313),2)=1)*ROW($A$1:$A$313))=0,NA(),SUMPRODUCT((MOD(ROW($A$1:$A$313)^2,prime)=MOD(B39,prime))*(ROW($A$1:$A$313)&lt;prime)*(MOD(ROW($A$1:$A$313),2)=1)*ROW($A$1:$A$313))))</f>
        <v/>
      </c>
      <c r="D39">
        <f>IF(OR(NOT(ISNUMBER(C39)),C39=0),NA(),MOD(prime-C39,prime))</f>
        <v/>
      </c>
    </row>
    <row r="40">
      <c r="A40" t="n">
        <v>32</v>
      </c>
      <c r="B40">
        <f>MOD(A40^3+a*A40+b,prime)</f>
        <v/>
      </c>
      <c r="C40">
        <f>IF(MOD(B40,prime)=0,0,IF(SUMPRODUCT((MOD(ROW($A$1:$A$313)^2,prime)=MOD(B40,prime))*(ROW($A$1:$A$313)&lt;prime)*(MOD(ROW($A$1:$A$313),2)=1)*ROW($A$1:$A$313))=0,NA(),SUMPRODUCT((MOD(ROW($A$1:$A$313)^2,prime)=MOD(B40,prime))*(ROW($A$1:$A$313)&lt;prime)*(MOD(ROW($A$1:$A$313),2)=1)*ROW($A$1:$A$313))))</f>
        <v/>
      </c>
      <c r="D40">
        <f>IF(OR(NOT(ISNUMBER(C40)),C40=0),NA(),MOD(prime-C40,prime))</f>
        <v/>
      </c>
    </row>
    <row r="41">
      <c r="A41" t="n">
        <v>33</v>
      </c>
      <c r="B41">
        <f>MOD(A41^3+a*A41+b,prime)</f>
        <v/>
      </c>
      <c r="C41">
        <f>IF(MOD(B41,prime)=0,0,IF(SUMPRODUCT((MOD(ROW($A$1:$A$313)^2,prime)=MOD(B41,prime))*(ROW($A$1:$A$313)&lt;prime)*(MOD(ROW($A$1:$A$313),2)=1)*ROW($A$1:$A$313))=0,NA(),SUMPRODUCT((MOD(ROW($A$1:$A$313)^2,prime)=MOD(B41,prime))*(ROW($A$1:$A$313)&lt;prime)*(MOD(ROW($A$1:$A$313),2)=1)*ROW($A$1:$A$313))))</f>
        <v/>
      </c>
      <c r="D41">
        <f>IF(OR(NOT(ISNUMBER(C41)),C41=0),NA(),MOD(prime-C41,prime))</f>
        <v/>
      </c>
    </row>
    <row r="42">
      <c r="A42" t="n">
        <v>34</v>
      </c>
      <c r="B42">
        <f>MOD(A42^3+a*A42+b,prime)</f>
        <v/>
      </c>
      <c r="C42">
        <f>IF(MOD(B42,prime)=0,0,IF(SUMPRODUCT((MOD(ROW($A$1:$A$313)^2,prime)=MOD(B42,prime))*(ROW($A$1:$A$313)&lt;prime)*(MOD(ROW($A$1:$A$313),2)=1)*ROW($A$1:$A$313))=0,NA(),SUMPRODUCT((MOD(ROW($A$1:$A$313)^2,prime)=MOD(B42,prime))*(ROW($A$1:$A$313)&lt;prime)*(MOD(ROW($A$1:$A$313),2)=1)*ROW($A$1:$A$313))))</f>
        <v/>
      </c>
      <c r="D42">
        <f>IF(OR(NOT(ISNUMBER(C42)),C42=0),NA(),MOD(prime-C42,prime))</f>
        <v/>
      </c>
    </row>
    <row r="43">
      <c r="A43" t="n">
        <v>35</v>
      </c>
      <c r="B43">
        <f>MOD(A43^3+a*A43+b,prime)</f>
        <v/>
      </c>
      <c r="C43">
        <f>IF(MOD(B43,prime)=0,0,IF(SUMPRODUCT((MOD(ROW($A$1:$A$313)^2,prime)=MOD(B43,prime))*(ROW($A$1:$A$313)&lt;prime)*(MOD(ROW($A$1:$A$313),2)=1)*ROW($A$1:$A$313))=0,NA(),SUMPRODUCT((MOD(ROW($A$1:$A$313)^2,prime)=MOD(B43,prime))*(ROW($A$1:$A$313)&lt;prime)*(MOD(ROW($A$1:$A$313),2)=1)*ROW($A$1:$A$313))))</f>
        <v/>
      </c>
      <c r="D43">
        <f>IF(OR(NOT(ISNUMBER(C43)),C43=0),NA(),MOD(prime-C43,prime))</f>
        <v/>
      </c>
    </row>
    <row r="44">
      <c r="A44" t="n">
        <v>36</v>
      </c>
      <c r="B44">
        <f>MOD(A44^3+a*A44+b,prime)</f>
        <v/>
      </c>
      <c r="C44">
        <f>IF(MOD(B44,prime)=0,0,IF(SUMPRODUCT((MOD(ROW($A$1:$A$313)^2,prime)=MOD(B44,prime))*(ROW($A$1:$A$313)&lt;prime)*(MOD(ROW($A$1:$A$313),2)=1)*ROW($A$1:$A$313))=0,NA(),SUMPRODUCT((MOD(ROW($A$1:$A$313)^2,prime)=MOD(B44,prime))*(ROW($A$1:$A$313)&lt;prime)*(MOD(ROW($A$1:$A$313),2)=1)*ROW($A$1:$A$313))))</f>
        <v/>
      </c>
      <c r="D44">
        <f>IF(OR(NOT(ISNUMBER(C44)),C44=0),NA(),MOD(prime-C44,prime))</f>
        <v/>
      </c>
    </row>
    <row r="45">
      <c r="A45" t="n">
        <v>37</v>
      </c>
      <c r="B45">
        <f>MOD(A45^3+a*A45+b,prime)</f>
        <v/>
      </c>
      <c r="C45">
        <f>IF(MOD(B45,prime)=0,0,IF(SUMPRODUCT((MOD(ROW($A$1:$A$313)^2,prime)=MOD(B45,prime))*(ROW($A$1:$A$313)&lt;prime)*(MOD(ROW($A$1:$A$313),2)=1)*ROW($A$1:$A$313))=0,NA(),SUMPRODUCT((MOD(ROW($A$1:$A$313)^2,prime)=MOD(B45,prime))*(ROW($A$1:$A$313)&lt;prime)*(MOD(ROW($A$1:$A$313),2)=1)*ROW($A$1:$A$313))))</f>
        <v/>
      </c>
      <c r="D45">
        <f>IF(OR(NOT(ISNUMBER(C45)),C45=0),NA(),MOD(prime-C45,prime))</f>
        <v/>
      </c>
    </row>
    <row r="46">
      <c r="A46" t="n">
        <v>38</v>
      </c>
      <c r="B46">
        <f>MOD(A46^3+a*A46+b,prime)</f>
        <v/>
      </c>
      <c r="C46">
        <f>IF(MOD(B46,prime)=0,0,IF(SUMPRODUCT((MOD(ROW($A$1:$A$313)^2,prime)=MOD(B46,prime))*(ROW($A$1:$A$313)&lt;prime)*(MOD(ROW($A$1:$A$313),2)=1)*ROW($A$1:$A$313))=0,NA(),SUMPRODUCT((MOD(ROW($A$1:$A$313)^2,prime)=MOD(B46,prime))*(ROW($A$1:$A$313)&lt;prime)*(MOD(ROW($A$1:$A$313),2)=1)*ROW($A$1:$A$313))))</f>
        <v/>
      </c>
      <c r="D46">
        <f>IF(OR(NOT(ISNUMBER(C46)),C46=0),NA(),MOD(prime-C46,prime))</f>
        <v/>
      </c>
    </row>
    <row r="47">
      <c r="A47" t="n">
        <v>39</v>
      </c>
      <c r="B47">
        <f>MOD(A47^3+a*A47+b,prime)</f>
        <v/>
      </c>
      <c r="C47">
        <f>IF(MOD(B47,prime)=0,0,IF(SUMPRODUCT((MOD(ROW($A$1:$A$313)^2,prime)=MOD(B47,prime))*(ROW($A$1:$A$313)&lt;prime)*(MOD(ROW($A$1:$A$313),2)=1)*ROW($A$1:$A$313))=0,NA(),SUMPRODUCT((MOD(ROW($A$1:$A$313)^2,prime)=MOD(B47,prime))*(ROW($A$1:$A$313)&lt;prime)*(MOD(ROW($A$1:$A$313),2)=1)*ROW($A$1:$A$313))))</f>
        <v/>
      </c>
      <c r="D47">
        <f>IF(OR(NOT(ISNUMBER(C47)),C47=0),NA(),MOD(prime-C47,prime))</f>
        <v/>
      </c>
    </row>
    <row r="48">
      <c r="A48" t="n">
        <v>40</v>
      </c>
      <c r="B48">
        <f>MOD(A48^3+a*A48+b,prime)</f>
        <v/>
      </c>
      <c r="C48">
        <f>IF(MOD(B48,prime)=0,0,IF(SUMPRODUCT((MOD(ROW($A$1:$A$313)^2,prime)=MOD(B48,prime))*(ROW($A$1:$A$313)&lt;prime)*(MOD(ROW($A$1:$A$313),2)=1)*ROW($A$1:$A$313))=0,NA(),SUMPRODUCT((MOD(ROW($A$1:$A$313)^2,prime)=MOD(B48,prime))*(ROW($A$1:$A$313)&lt;prime)*(MOD(ROW($A$1:$A$313),2)=1)*ROW($A$1:$A$313))))</f>
        <v/>
      </c>
      <c r="D48">
        <f>IF(OR(NOT(ISNUMBER(C48)),C48=0),NA(),MOD(prime-C48,prime))</f>
        <v/>
      </c>
    </row>
    <row r="49">
      <c r="A49" t="n">
        <v>41</v>
      </c>
      <c r="B49">
        <f>MOD(A49^3+a*A49+b,prime)</f>
        <v/>
      </c>
      <c r="C49">
        <f>IF(MOD(B49,prime)=0,0,IF(SUMPRODUCT((MOD(ROW($A$1:$A$313)^2,prime)=MOD(B49,prime))*(ROW($A$1:$A$313)&lt;prime)*(MOD(ROW($A$1:$A$313),2)=1)*ROW($A$1:$A$313))=0,NA(),SUMPRODUCT((MOD(ROW($A$1:$A$313)^2,prime)=MOD(B49,prime))*(ROW($A$1:$A$313)&lt;prime)*(MOD(ROW($A$1:$A$313),2)=1)*ROW($A$1:$A$313))))</f>
        <v/>
      </c>
      <c r="D49">
        <f>IF(OR(NOT(ISNUMBER(C49)),C49=0),NA(),MOD(prime-C49,prime))</f>
        <v/>
      </c>
    </row>
    <row r="50">
      <c r="A50" t="n">
        <v>42</v>
      </c>
      <c r="B50">
        <f>MOD(A50^3+a*A50+b,prime)</f>
        <v/>
      </c>
      <c r="C50">
        <f>IF(MOD(B50,prime)=0,0,IF(SUMPRODUCT((MOD(ROW($A$1:$A$313)^2,prime)=MOD(B50,prime))*(ROW($A$1:$A$313)&lt;prime)*(MOD(ROW($A$1:$A$313),2)=1)*ROW($A$1:$A$313))=0,NA(),SUMPRODUCT((MOD(ROW($A$1:$A$313)^2,prime)=MOD(B50,prime))*(ROW($A$1:$A$313)&lt;prime)*(MOD(ROW($A$1:$A$313),2)=1)*ROW($A$1:$A$313))))</f>
        <v/>
      </c>
      <c r="D50">
        <f>IF(OR(NOT(ISNUMBER(C50)),C50=0),NA(),MOD(prime-C50,prime))</f>
        <v/>
      </c>
    </row>
    <row r="51">
      <c r="A51" t="n">
        <v>43</v>
      </c>
      <c r="B51">
        <f>MOD(A51^3+a*A51+b,prime)</f>
        <v/>
      </c>
      <c r="C51">
        <f>IF(MOD(B51,prime)=0,0,IF(SUMPRODUCT((MOD(ROW($A$1:$A$313)^2,prime)=MOD(B51,prime))*(ROW($A$1:$A$313)&lt;prime)*(MOD(ROW($A$1:$A$313),2)=1)*ROW($A$1:$A$313))=0,NA(),SUMPRODUCT((MOD(ROW($A$1:$A$313)^2,prime)=MOD(B51,prime))*(ROW($A$1:$A$313)&lt;prime)*(MOD(ROW($A$1:$A$313),2)=1)*ROW($A$1:$A$313))))</f>
        <v/>
      </c>
      <c r="D51">
        <f>IF(OR(NOT(ISNUMBER(C51)),C51=0),NA(),MOD(prime-C51,prime))</f>
        <v/>
      </c>
    </row>
    <row r="52">
      <c r="A52" t="n">
        <v>44</v>
      </c>
      <c r="B52">
        <f>MOD(A52^3+a*A52+b,prime)</f>
        <v/>
      </c>
      <c r="C52">
        <f>IF(MOD(B52,prime)=0,0,IF(SUMPRODUCT((MOD(ROW($A$1:$A$313)^2,prime)=MOD(B52,prime))*(ROW($A$1:$A$313)&lt;prime)*(MOD(ROW($A$1:$A$313),2)=1)*ROW($A$1:$A$313))=0,NA(),SUMPRODUCT((MOD(ROW($A$1:$A$313)^2,prime)=MOD(B52,prime))*(ROW($A$1:$A$313)&lt;prime)*(MOD(ROW($A$1:$A$313),2)=1)*ROW($A$1:$A$313))))</f>
        <v/>
      </c>
      <c r="D52">
        <f>IF(OR(NOT(ISNUMBER(C52)),C52=0),NA(),MOD(prime-C52,prime))</f>
        <v/>
      </c>
    </row>
    <row r="53">
      <c r="A53" t="n">
        <v>45</v>
      </c>
      <c r="B53">
        <f>MOD(A53^3+a*A53+b,prime)</f>
        <v/>
      </c>
      <c r="C53">
        <f>IF(MOD(B53,prime)=0,0,IF(SUMPRODUCT((MOD(ROW($A$1:$A$313)^2,prime)=MOD(B53,prime))*(ROW($A$1:$A$313)&lt;prime)*(MOD(ROW($A$1:$A$313),2)=1)*ROW($A$1:$A$313))=0,NA(),SUMPRODUCT((MOD(ROW($A$1:$A$313)^2,prime)=MOD(B53,prime))*(ROW($A$1:$A$313)&lt;prime)*(MOD(ROW($A$1:$A$313),2)=1)*ROW($A$1:$A$313))))</f>
        <v/>
      </c>
      <c r="D53">
        <f>IF(OR(NOT(ISNUMBER(C53)),C53=0),NA(),MOD(prime-C53,prime))</f>
        <v/>
      </c>
    </row>
    <row r="54">
      <c r="A54" t="n">
        <v>46</v>
      </c>
      <c r="B54">
        <f>MOD(A54^3+a*A54+b,prime)</f>
        <v/>
      </c>
      <c r="C54">
        <f>IF(MOD(B54,prime)=0,0,IF(SUMPRODUCT((MOD(ROW($A$1:$A$313)^2,prime)=MOD(B54,prime))*(ROW($A$1:$A$313)&lt;prime)*(MOD(ROW($A$1:$A$313),2)=1)*ROW($A$1:$A$313))=0,NA(),SUMPRODUCT((MOD(ROW($A$1:$A$313)^2,prime)=MOD(B54,prime))*(ROW($A$1:$A$313)&lt;prime)*(MOD(ROW($A$1:$A$313),2)=1)*ROW($A$1:$A$313))))</f>
        <v/>
      </c>
      <c r="D54">
        <f>IF(OR(NOT(ISNUMBER(C54)),C54=0),NA(),MOD(prime-C54,prime))</f>
        <v/>
      </c>
    </row>
    <row r="55">
      <c r="A55" t="n">
        <v>47</v>
      </c>
      <c r="B55">
        <f>MOD(A55^3+a*A55+b,prime)</f>
        <v/>
      </c>
      <c r="C55">
        <f>IF(MOD(B55,prime)=0,0,IF(SUMPRODUCT((MOD(ROW($A$1:$A$313)^2,prime)=MOD(B55,prime))*(ROW($A$1:$A$313)&lt;prime)*(MOD(ROW($A$1:$A$313),2)=1)*ROW($A$1:$A$313))=0,NA(),SUMPRODUCT((MOD(ROW($A$1:$A$313)^2,prime)=MOD(B55,prime))*(ROW($A$1:$A$313)&lt;prime)*(MOD(ROW($A$1:$A$313),2)=1)*ROW($A$1:$A$313))))</f>
        <v/>
      </c>
      <c r="D55">
        <f>IF(OR(NOT(ISNUMBER(C55)),C55=0),NA(),MOD(prime-C55,prime))</f>
        <v/>
      </c>
    </row>
    <row r="56">
      <c r="A56" t="n">
        <v>48</v>
      </c>
      <c r="B56">
        <f>MOD(A56^3+a*A56+b,prime)</f>
        <v/>
      </c>
      <c r="C56">
        <f>IF(MOD(B56,prime)=0,0,IF(SUMPRODUCT((MOD(ROW($A$1:$A$313)^2,prime)=MOD(B56,prime))*(ROW($A$1:$A$313)&lt;prime)*(MOD(ROW($A$1:$A$313),2)=1)*ROW($A$1:$A$313))=0,NA(),SUMPRODUCT((MOD(ROW($A$1:$A$313)^2,prime)=MOD(B56,prime))*(ROW($A$1:$A$313)&lt;prime)*(MOD(ROW($A$1:$A$313),2)=1)*ROW($A$1:$A$313))))</f>
        <v/>
      </c>
      <c r="D56">
        <f>IF(OR(NOT(ISNUMBER(C56)),C56=0),NA(),MOD(prime-C56,prime))</f>
        <v/>
      </c>
    </row>
    <row r="57">
      <c r="A57" t="n">
        <v>49</v>
      </c>
      <c r="B57">
        <f>MOD(A57^3+a*A57+b,prime)</f>
        <v/>
      </c>
      <c r="C57">
        <f>IF(MOD(B57,prime)=0,0,IF(SUMPRODUCT((MOD(ROW($A$1:$A$313)^2,prime)=MOD(B57,prime))*(ROW($A$1:$A$313)&lt;prime)*(MOD(ROW($A$1:$A$313),2)=1)*ROW($A$1:$A$313))=0,NA(),SUMPRODUCT((MOD(ROW($A$1:$A$313)^2,prime)=MOD(B57,prime))*(ROW($A$1:$A$313)&lt;prime)*(MOD(ROW($A$1:$A$313),2)=1)*ROW($A$1:$A$313))))</f>
        <v/>
      </c>
      <c r="D57">
        <f>IF(OR(NOT(ISNUMBER(C57)),C57=0),NA(),MOD(prime-C57,prime))</f>
        <v/>
      </c>
    </row>
    <row r="58">
      <c r="A58" t="n">
        <v>50</v>
      </c>
      <c r="B58">
        <f>MOD(A58^3+a*A58+b,prime)</f>
        <v/>
      </c>
      <c r="C58">
        <f>IF(MOD(B58,prime)=0,0,IF(SUMPRODUCT((MOD(ROW($A$1:$A$313)^2,prime)=MOD(B58,prime))*(ROW($A$1:$A$313)&lt;prime)*(MOD(ROW($A$1:$A$313),2)=1)*ROW($A$1:$A$313))=0,NA(),SUMPRODUCT((MOD(ROW($A$1:$A$313)^2,prime)=MOD(B58,prime))*(ROW($A$1:$A$313)&lt;prime)*(MOD(ROW($A$1:$A$313),2)=1)*ROW($A$1:$A$313))))</f>
        <v/>
      </c>
      <c r="D58">
        <f>IF(OR(NOT(ISNUMBER(C58)),C58=0),NA(),MOD(prime-C58,prime))</f>
        <v/>
      </c>
    </row>
    <row r="59">
      <c r="A59" t="n">
        <v>51</v>
      </c>
      <c r="B59">
        <f>MOD(A59^3+a*A59+b,prime)</f>
        <v/>
      </c>
      <c r="C59">
        <f>IF(MOD(B59,prime)=0,0,IF(SUMPRODUCT((MOD(ROW($A$1:$A$313)^2,prime)=MOD(B59,prime))*(ROW($A$1:$A$313)&lt;prime)*(MOD(ROW($A$1:$A$313),2)=1)*ROW($A$1:$A$313))=0,NA(),SUMPRODUCT((MOD(ROW($A$1:$A$313)^2,prime)=MOD(B59,prime))*(ROW($A$1:$A$313)&lt;prime)*(MOD(ROW($A$1:$A$313),2)=1)*ROW($A$1:$A$313))))</f>
        <v/>
      </c>
      <c r="D59">
        <f>IF(OR(NOT(ISNUMBER(C59)),C59=0),NA(),MOD(prime-C59,prime))</f>
        <v/>
      </c>
    </row>
    <row r="60">
      <c r="A60" t="n">
        <v>52</v>
      </c>
      <c r="B60">
        <f>MOD(A60^3+a*A60+b,prime)</f>
        <v/>
      </c>
      <c r="C60">
        <f>IF(MOD(B60,prime)=0,0,IF(SUMPRODUCT((MOD(ROW($A$1:$A$313)^2,prime)=MOD(B60,prime))*(ROW($A$1:$A$313)&lt;prime)*(MOD(ROW($A$1:$A$313),2)=1)*ROW($A$1:$A$313))=0,NA(),SUMPRODUCT((MOD(ROW($A$1:$A$313)^2,prime)=MOD(B60,prime))*(ROW($A$1:$A$313)&lt;prime)*(MOD(ROW($A$1:$A$313),2)=1)*ROW($A$1:$A$313))))</f>
        <v/>
      </c>
      <c r="D60">
        <f>IF(OR(NOT(ISNUMBER(C60)),C60=0),NA(),MOD(prime-C60,prime))</f>
        <v/>
      </c>
    </row>
    <row r="61">
      <c r="A61" t="n">
        <v>53</v>
      </c>
      <c r="B61">
        <f>MOD(A61^3+a*A61+b,prime)</f>
        <v/>
      </c>
      <c r="C61">
        <f>IF(MOD(B61,prime)=0,0,IF(SUMPRODUCT((MOD(ROW($A$1:$A$313)^2,prime)=MOD(B61,prime))*(ROW($A$1:$A$313)&lt;prime)*(MOD(ROW($A$1:$A$313),2)=1)*ROW($A$1:$A$313))=0,NA(),SUMPRODUCT((MOD(ROW($A$1:$A$313)^2,prime)=MOD(B61,prime))*(ROW($A$1:$A$313)&lt;prime)*(MOD(ROW($A$1:$A$313),2)=1)*ROW($A$1:$A$313))))</f>
        <v/>
      </c>
      <c r="D61">
        <f>IF(OR(NOT(ISNUMBER(C61)),C61=0),NA(),MOD(prime-C61,prime))</f>
        <v/>
      </c>
    </row>
    <row r="62">
      <c r="A62" t="n">
        <v>54</v>
      </c>
      <c r="B62">
        <f>MOD(A62^3+a*A62+b,prime)</f>
        <v/>
      </c>
      <c r="C62">
        <f>IF(MOD(B62,prime)=0,0,IF(SUMPRODUCT((MOD(ROW($A$1:$A$313)^2,prime)=MOD(B62,prime))*(ROW($A$1:$A$313)&lt;prime)*(MOD(ROW($A$1:$A$313),2)=1)*ROW($A$1:$A$313))=0,NA(),SUMPRODUCT((MOD(ROW($A$1:$A$313)^2,prime)=MOD(B62,prime))*(ROW($A$1:$A$313)&lt;prime)*(MOD(ROW($A$1:$A$313),2)=1)*ROW($A$1:$A$313))))</f>
        <v/>
      </c>
      <c r="D62">
        <f>IF(OR(NOT(ISNUMBER(C62)),C62=0),NA(),MOD(prime-C62,prime))</f>
        <v/>
      </c>
    </row>
    <row r="63">
      <c r="A63" t="n">
        <v>55</v>
      </c>
      <c r="B63">
        <f>MOD(A63^3+a*A63+b,prime)</f>
        <v/>
      </c>
      <c r="C63">
        <f>IF(MOD(B63,prime)=0,0,IF(SUMPRODUCT((MOD(ROW($A$1:$A$313)^2,prime)=MOD(B63,prime))*(ROW($A$1:$A$313)&lt;prime)*(MOD(ROW($A$1:$A$313),2)=1)*ROW($A$1:$A$313))=0,NA(),SUMPRODUCT((MOD(ROW($A$1:$A$313)^2,prime)=MOD(B63,prime))*(ROW($A$1:$A$313)&lt;prime)*(MOD(ROW($A$1:$A$313),2)=1)*ROW($A$1:$A$313))))</f>
        <v/>
      </c>
      <c r="D63">
        <f>IF(OR(NOT(ISNUMBER(C63)),C63=0),NA(),MOD(prime-C63,prime))</f>
        <v/>
      </c>
    </row>
    <row r="64">
      <c r="A64" t="n">
        <v>56</v>
      </c>
      <c r="B64">
        <f>MOD(A64^3+a*A64+b,prime)</f>
        <v/>
      </c>
      <c r="C64">
        <f>IF(MOD(B64,prime)=0,0,IF(SUMPRODUCT((MOD(ROW($A$1:$A$313)^2,prime)=MOD(B64,prime))*(ROW($A$1:$A$313)&lt;prime)*(MOD(ROW($A$1:$A$313),2)=1)*ROW($A$1:$A$313))=0,NA(),SUMPRODUCT((MOD(ROW($A$1:$A$313)^2,prime)=MOD(B64,prime))*(ROW($A$1:$A$313)&lt;prime)*(MOD(ROW($A$1:$A$313),2)=1)*ROW($A$1:$A$313))))</f>
        <v/>
      </c>
      <c r="D64">
        <f>IF(OR(NOT(ISNUMBER(C64)),C64=0),NA(),MOD(prime-C64,prime))</f>
        <v/>
      </c>
    </row>
    <row r="65">
      <c r="A65" t="n">
        <v>57</v>
      </c>
      <c r="B65">
        <f>MOD(A65^3+a*A65+b,prime)</f>
        <v/>
      </c>
      <c r="C65">
        <f>IF(MOD(B65,prime)=0,0,IF(SUMPRODUCT((MOD(ROW($A$1:$A$313)^2,prime)=MOD(B65,prime))*(ROW($A$1:$A$313)&lt;prime)*(MOD(ROW($A$1:$A$313),2)=1)*ROW($A$1:$A$313))=0,NA(),SUMPRODUCT((MOD(ROW($A$1:$A$313)^2,prime)=MOD(B65,prime))*(ROW($A$1:$A$313)&lt;prime)*(MOD(ROW($A$1:$A$313),2)=1)*ROW($A$1:$A$313))))</f>
        <v/>
      </c>
      <c r="D65">
        <f>IF(OR(NOT(ISNUMBER(C65)),C65=0),NA(),MOD(prime-C65,prime))</f>
        <v/>
      </c>
    </row>
    <row r="66">
      <c r="A66" t="n">
        <v>58</v>
      </c>
      <c r="B66">
        <f>MOD(A66^3+a*A66+b,prime)</f>
        <v/>
      </c>
      <c r="C66">
        <f>IF(MOD(B66,prime)=0,0,IF(SUMPRODUCT((MOD(ROW($A$1:$A$313)^2,prime)=MOD(B66,prime))*(ROW($A$1:$A$313)&lt;prime)*(MOD(ROW($A$1:$A$313),2)=1)*ROW($A$1:$A$313))=0,NA(),SUMPRODUCT((MOD(ROW($A$1:$A$313)^2,prime)=MOD(B66,prime))*(ROW($A$1:$A$313)&lt;prime)*(MOD(ROW($A$1:$A$313),2)=1)*ROW($A$1:$A$313))))</f>
        <v/>
      </c>
      <c r="D66">
        <f>IF(OR(NOT(ISNUMBER(C66)),C66=0),NA(),MOD(prime-C66,prime))</f>
        <v/>
      </c>
    </row>
    <row r="67">
      <c r="A67" t="n">
        <v>59</v>
      </c>
      <c r="B67">
        <f>MOD(A67^3+a*A67+b,prime)</f>
        <v/>
      </c>
      <c r="C67">
        <f>IF(MOD(B67,prime)=0,0,IF(SUMPRODUCT((MOD(ROW($A$1:$A$313)^2,prime)=MOD(B67,prime))*(ROW($A$1:$A$313)&lt;prime)*(MOD(ROW($A$1:$A$313),2)=1)*ROW($A$1:$A$313))=0,NA(),SUMPRODUCT((MOD(ROW($A$1:$A$313)^2,prime)=MOD(B67,prime))*(ROW($A$1:$A$313)&lt;prime)*(MOD(ROW($A$1:$A$313),2)=1)*ROW($A$1:$A$313))))</f>
        <v/>
      </c>
      <c r="D67">
        <f>IF(OR(NOT(ISNUMBER(C67)),C67=0),NA(),MOD(prime-C67,prime))</f>
        <v/>
      </c>
    </row>
    <row r="68">
      <c r="A68" t="n">
        <v>60</v>
      </c>
      <c r="B68">
        <f>MOD(A68^3+a*A68+b,prime)</f>
        <v/>
      </c>
      <c r="C68">
        <f>IF(MOD(B68,prime)=0,0,IF(SUMPRODUCT((MOD(ROW($A$1:$A$313)^2,prime)=MOD(B68,prime))*(ROW($A$1:$A$313)&lt;prime)*(MOD(ROW($A$1:$A$313),2)=1)*ROW($A$1:$A$313))=0,NA(),SUMPRODUCT((MOD(ROW($A$1:$A$313)^2,prime)=MOD(B68,prime))*(ROW($A$1:$A$313)&lt;prime)*(MOD(ROW($A$1:$A$313),2)=1)*ROW($A$1:$A$313))))</f>
        <v/>
      </c>
      <c r="D68">
        <f>IF(OR(NOT(ISNUMBER(C68)),C68=0),NA(),MOD(prime-C68,prime))</f>
        <v/>
      </c>
    </row>
    <row r="69">
      <c r="A69" t="n">
        <v>61</v>
      </c>
      <c r="B69">
        <f>MOD(A69^3+a*A69+b,prime)</f>
        <v/>
      </c>
      <c r="C69">
        <f>IF(MOD(B69,prime)=0,0,IF(SUMPRODUCT((MOD(ROW($A$1:$A$313)^2,prime)=MOD(B69,prime))*(ROW($A$1:$A$313)&lt;prime)*(MOD(ROW($A$1:$A$313),2)=1)*ROW($A$1:$A$313))=0,NA(),SUMPRODUCT((MOD(ROW($A$1:$A$313)^2,prime)=MOD(B69,prime))*(ROW($A$1:$A$313)&lt;prime)*(MOD(ROW($A$1:$A$313),2)=1)*ROW($A$1:$A$313))))</f>
        <v/>
      </c>
      <c r="D69">
        <f>IF(OR(NOT(ISNUMBER(C69)),C69=0),NA(),MOD(prime-C69,prime))</f>
        <v/>
      </c>
    </row>
    <row r="70">
      <c r="A70" t="n">
        <v>62</v>
      </c>
      <c r="B70">
        <f>MOD(A70^3+a*A70+b,prime)</f>
        <v/>
      </c>
      <c r="C70">
        <f>IF(MOD(B70,prime)=0,0,IF(SUMPRODUCT((MOD(ROW($A$1:$A$313)^2,prime)=MOD(B70,prime))*(ROW($A$1:$A$313)&lt;prime)*(MOD(ROW($A$1:$A$313),2)=1)*ROW($A$1:$A$313))=0,NA(),SUMPRODUCT((MOD(ROW($A$1:$A$313)^2,prime)=MOD(B70,prime))*(ROW($A$1:$A$313)&lt;prime)*(MOD(ROW($A$1:$A$313),2)=1)*ROW($A$1:$A$313))))</f>
        <v/>
      </c>
      <c r="D70">
        <f>IF(OR(NOT(ISNUMBER(C70)),C70=0),NA(),MOD(prime-C70,prime))</f>
        <v/>
      </c>
    </row>
    <row r="71">
      <c r="A71" t="n">
        <v>63</v>
      </c>
      <c r="B71">
        <f>MOD(A71^3+a*A71+b,prime)</f>
        <v/>
      </c>
      <c r="C71">
        <f>IF(MOD(B71,prime)=0,0,IF(SUMPRODUCT((MOD(ROW($A$1:$A$313)^2,prime)=MOD(B71,prime))*(ROW($A$1:$A$313)&lt;prime)*(MOD(ROW($A$1:$A$313),2)=1)*ROW($A$1:$A$313))=0,NA(),SUMPRODUCT((MOD(ROW($A$1:$A$313)^2,prime)=MOD(B71,prime))*(ROW($A$1:$A$313)&lt;prime)*(MOD(ROW($A$1:$A$313),2)=1)*ROW($A$1:$A$313))))</f>
        <v/>
      </c>
      <c r="D71">
        <f>IF(OR(NOT(ISNUMBER(C71)),C71=0),NA(),MOD(prime-C71,prime))</f>
        <v/>
      </c>
    </row>
    <row r="72">
      <c r="A72" t="n">
        <v>64</v>
      </c>
      <c r="B72">
        <f>MOD(A72^3+a*A72+b,prime)</f>
        <v/>
      </c>
      <c r="C72">
        <f>IF(MOD(B72,prime)=0,0,IF(SUMPRODUCT((MOD(ROW($A$1:$A$313)^2,prime)=MOD(B72,prime))*(ROW($A$1:$A$313)&lt;prime)*(MOD(ROW($A$1:$A$313),2)=1)*ROW($A$1:$A$313))=0,NA(),SUMPRODUCT((MOD(ROW($A$1:$A$313)^2,prime)=MOD(B72,prime))*(ROW($A$1:$A$313)&lt;prime)*(MOD(ROW($A$1:$A$313),2)=1)*ROW($A$1:$A$313))))</f>
        <v/>
      </c>
      <c r="D72">
        <f>IF(OR(NOT(ISNUMBER(C72)),C72=0),NA(),MOD(prime-C72,prime))</f>
        <v/>
      </c>
    </row>
    <row r="73">
      <c r="A73" t="n">
        <v>65</v>
      </c>
      <c r="B73">
        <f>MOD(A73^3+a*A73+b,prime)</f>
        <v/>
      </c>
      <c r="C73">
        <f>IF(MOD(B73,prime)=0,0,IF(SUMPRODUCT((MOD(ROW($A$1:$A$313)^2,prime)=MOD(B73,prime))*(ROW($A$1:$A$313)&lt;prime)*(MOD(ROW($A$1:$A$313),2)=1)*ROW($A$1:$A$313))=0,NA(),SUMPRODUCT((MOD(ROW($A$1:$A$313)^2,prime)=MOD(B73,prime))*(ROW($A$1:$A$313)&lt;prime)*(MOD(ROW($A$1:$A$313),2)=1)*ROW($A$1:$A$313))))</f>
        <v/>
      </c>
      <c r="D73">
        <f>IF(OR(NOT(ISNUMBER(C73)),C73=0),NA(),MOD(prime-C73,prime))</f>
        <v/>
      </c>
    </row>
    <row r="74">
      <c r="A74" t="n">
        <v>66</v>
      </c>
      <c r="B74">
        <f>MOD(A74^3+a*A74+b,prime)</f>
        <v/>
      </c>
      <c r="C74">
        <f>IF(MOD(B74,prime)=0,0,IF(SUMPRODUCT((MOD(ROW($A$1:$A$313)^2,prime)=MOD(B74,prime))*(ROW($A$1:$A$313)&lt;prime)*(MOD(ROW($A$1:$A$313),2)=1)*ROW($A$1:$A$313))=0,NA(),SUMPRODUCT((MOD(ROW($A$1:$A$313)^2,prime)=MOD(B74,prime))*(ROW($A$1:$A$313)&lt;prime)*(MOD(ROW($A$1:$A$313),2)=1)*ROW($A$1:$A$313))))</f>
        <v/>
      </c>
      <c r="D74">
        <f>IF(OR(NOT(ISNUMBER(C74)),C74=0),NA(),MOD(prime-C74,prime))</f>
        <v/>
      </c>
    </row>
    <row r="75">
      <c r="A75" t="n">
        <v>67</v>
      </c>
      <c r="B75">
        <f>MOD(A75^3+a*A75+b,prime)</f>
        <v/>
      </c>
      <c r="C75">
        <f>IF(MOD(B75,prime)=0,0,IF(SUMPRODUCT((MOD(ROW($A$1:$A$313)^2,prime)=MOD(B75,prime))*(ROW($A$1:$A$313)&lt;prime)*(MOD(ROW($A$1:$A$313),2)=1)*ROW($A$1:$A$313))=0,NA(),SUMPRODUCT((MOD(ROW($A$1:$A$313)^2,prime)=MOD(B75,prime))*(ROW($A$1:$A$313)&lt;prime)*(MOD(ROW($A$1:$A$313),2)=1)*ROW($A$1:$A$313))))</f>
        <v/>
      </c>
      <c r="D75">
        <f>IF(OR(NOT(ISNUMBER(C75)),C75=0),NA(),MOD(prime-C75,prime))</f>
        <v/>
      </c>
    </row>
    <row r="76">
      <c r="A76" t="n">
        <v>68</v>
      </c>
      <c r="B76">
        <f>MOD(A76^3+a*A76+b,prime)</f>
        <v/>
      </c>
      <c r="C76">
        <f>IF(MOD(B76,prime)=0,0,IF(SUMPRODUCT((MOD(ROW($A$1:$A$313)^2,prime)=MOD(B76,prime))*(ROW($A$1:$A$313)&lt;prime)*(MOD(ROW($A$1:$A$313),2)=1)*ROW($A$1:$A$313))=0,NA(),SUMPRODUCT((MOD(ROW($A$1:$A$313)^2,prime)=MOD(B76,prime))*(ROW($A$1:$A$313)&lt;prime)*(MOD(ROW($A$1:$A$313),2)=1)*ROW($A$1:$A$313))))</f>
        <v/>
      </c>
      <c r="D76">
        <f>IF(OR(NOT(ISNUMBER(C76)),C76=0),NA(),MOD(prime-C76,prime))</f>
        <v/>
      </c>
    </row>
    <row r="77">
      <c r="A77" t="n">
        <v>69</v>
      </c>
      <c r="B77">
        <f>MOD(A77^3+a*A77+b,prime)</f>
        <v/>
      </c>
      <c r="C77">
        <f>IF(MOD(B77,prime)=0,0,IF(SUMPRODUCT((MOD(ROW($A$1:$A$313)^2,prime)=MOD(B77,prime))*(ROW($A$1:$A$313)&lt;prime)*(MOD(ROW($A$1:$A$313),2)=1)*ROW($A$1:$A$313))=0,NA(),SUMPRODUCT((MOD(ROW($A$1:$A$313)^2,prime)=MOD(B77,prime))*(ROW($A$1:$A$313)&lt;prime)*(MOD(ROW($A$1:$A$313),2)=1)*ROW($A$1:$A$313))))</f>
        <v/>
      </c>
      <c r="D77">
        <f>IF(OR(NOT(ISNUMBER(C77)),C77=0),NA(),MOD(prime-C77,prime))</f>
        <v/>
      </c>
    </row>
    <row r="78">
      <c r="A78" t="n">
        <v>70</v>
      </c>
      <c r="B78">
        <f>MOD(A78^3+a*A78+b,prime)</f>
        <v/>
      </c>
      <c r="C78">
        <f>IF(MOD(B78,prime)=0,0,IF(SUMPRODUCT((MOD(ROW($A$1:$A$313)^2,prime)=MOD(B78,prime))*(ROW($A$1:$A$313)&lt;prime)*(MOD(ROW($A$1:$A$313),2)=1)*ROW($A$1:$A$313))=0,NA(),SUMPRODUCT((MOD(ROW($A$1:$A$313)^2,prime)=MOD(B78,prime))*(ROW($A$1:$A$313)&lt;prime)*(MOD(ROW($A$1:$A$313),2)=1)*ROW($A$1:$A$313))))</f>
        <v/>
      </c>
      <c r="D78">
        <f>IF(OR(NOT(ISNUMBER(C78)),C78=0),NA(),MOD(prime-C78,prime))</f>
        <v/>
      </c>
    </row>
    <row r="79">
      <c r="A79" t="n">
        <v>71</v>
      </c>
      <c r="B79">
        <f>MOD(A79^3+a*A79+b,prime)</f>
        <v/>
      </c>
      <c r="C79">
        <f>IF(MOD(B79,prime)=0,0,IF(SUMPRODUCT((MOD(ROW($A$1:$A$313)^2,prime)=MOD(B79,prime))*(ROW($A$1:$A$313)&lt;prime)*(MOD(ROW($A$1:$A$313),2)=1)*ROW($A$1:$A$313))=0,NA(),SUMPRODUCT((MOD(ROW($A$1:$A$313)^2,prime)=MOD(B79,prime))*(ROW($A$1:$A$313)&lt;prime)*(MOD(ROW($A$1:$A$313),2)=1)*ROW($A$1:$A$313))))</f>
        <v/>
      </c>
      <c r="D79">
        <f>IF(OR(NOT(ISNUMBER(C79)),C79=0),NA(),MOD(prime-C79,prime))</f>
        <v/>
      </c>
    </row>
    <row r="80">
      <c r="A80" t="n">
        <v>72</v>
      </c>
      <c r="B80">
        <f>MOD(A80^3+a*A80+b,prime)</f>
        <v/>
      </c>
      <c r="C80">
        <f>IF(MOD(B80,prime)=0,0,IF(SUMPRODUCT((MOD(ROW($A$1:$A$313)^2,prime)=MOD(B80,prime))*(ROW($A$1:$A$313)&lt;prime)*(MOD(ROW($A$1:$A$313),2)=1)*ROW($A$1:$A$313))=0,NA(),SUMPRODUCT((MOD(ROW($A$1:$A$313)^2,prime)=MOD(B80,prime))*(ROW($A$1:$A$313)&lt;prime)*(MOD(ROW($A$1:$A$313),2)=1)*ROW($A$1:$A$313))))</f>
        <v/>
      </c>
      <c r="D80">
        <f>IF(OR(NOT(ISNUMBER(C80)),C80=0),NA(),MOD(prime-C80,prime))</f>
        <v/>
      </c>
    </row>
    <row r="81">
      <c r="A81" t="n">
        <v>73</v>
      </c>
      <c r="B81">
        <f>MOD(A81^3+a*A81+b,prime)</f>
        <v/>
      </c>
      <c r="C81">
        <f>IF(MOD(B81,prime)=0,0,IF(SUMPRODUCT((MOD(ROW($A$1:$A$313)^2,prime)=MOD(B81,prime))*(ROW($A$1:$A$313)&lt;prime)*(MOD(ROW($A$1:$A$313),2)=1)*ROW($A$1:$A$313))=0,NA(),SUMPRODUCT((MOD(ROW($A$1:$A$313)^2,prime)=MOD(B81,prime))*(ROW($A$1:$A$313)&lt;prime)*(MOD(ROW($A$1:$A$313),2)=1)*ROW($A$1:$A$313))))</f>
        <v/>
      </c>
      <c r="D81">
        <f>IF(OR(NOT(ISNUMBER(C81)),C81=0),NA(),MOD(prime-C81,prime))</f>
        <v/>
      </c>
    </row>
    <row r="82">
      <c r="A82" t="n">
        <v>74</v>
      </c>
      <c r="B82">
        <f>MOD(A82^3+a*A82+b,prime)</f>
        <v/>
      </c>
      <c r="C82">
        <f>IF(MOD(B82,prime)=0,0,IF(SUMPRODUCT((MOD(ROW($A$1:$A$313)^2,prime)=MOD(B82,prime))*(ROW($A$1:$A$313)&lt;prime)*(MOD(ROW($A$1:$A$313),2)=1)*ROW($A$1:$A$313))=0,NA(),SUMPRODUCT((MOD(ROW($A$1:$A$313)^2,prime)=MOD(B82,prime))*(ROW($A$1:$A$313)&lt;prime)*(MOD(ROW($A$1:$A$313),2)=1)*ROW($A$1:$A$313))))</f>
        <v/>
      </c>
      <c r="D82">
        <f>IF(OR(NOT(ISNUMBER(C82)),C82=0),NA(),MOD(prime-C82,prime))</f>
        <v/>
      </c>
    </row>
    <row r="83">
      <c r="A83" t="n">
        <v>75</v>
      </c>
      <c r="B83">
        <f>MOD(A83^3+a*A83+b,prime)</f>
        <v/>
      </c>
      <c r="C83">
        <f>IF(MOD(B83,prime)=0,0,IF(SUMPRODUCT((MOD(ROW($A$1:$A$313)^2,prime)=MOD(B83,prime))*(ROW($A$1:$A$313)&lt;prime)*(MOD(ROW($A$1:$A$313),2)=1)*ROW($A$1:$A$313))=0,NA(),SUMPRODUCT((MOD(ROW($A$1:$A$313)^2,prime)=MOD(B83,prime))*(ROW($A$1:$A$313)&lt;prime)*(MOD(ROW($A$1:$A$313),2)=1)*ROW($A$1:$A$313))))</f>
        <v/>
      </c>
      <c r="D83">
        <f>IF(OR(NOT(ISNUMBER(C83)),C83=0),NA(),MOD(prime-C83,prime))</f>
        <v/>
      </c>
    </row>
    <row r="84">
      <c r="A84" t="n">
        <v>76</v>
      </c>
      <c r="B84">
        <f>MOD(A84^3+a*A84+b,prime)</f>
        <v/>
      </c>
      <c r="C84">
        <f>IF(MOD(B84,prime)=0,0,IF(SUMPRODUCT((MOD(ROW($A$1:$A$313)^2,prime)=MOD(B84,prime))*(ROW($A$1:$A$313)&lt;prime)*(MOD(ROW($A$1:$A$313),2)=1)*ROW($A$1:$A$313))=0,NA(),SUMPRODUCT((MOD(ROW($A$1:$A$313)^2,prime)=MOD(B84,prime))*(ROW($A$1:$A$313)&lt;prime)*(MOD(ROW($A$1:$A$313),2)=1)*ROW($A$1:$A$313))))</f>
        <v/>
      </c>
      <c r="D84">
        <f>IF(OR(NOT(ISNUMBER(C84)),C84=0),NA(),MOD(prime-C84,prime))</f>
        <v/>
      </c>
    </row>
    <row r="85">
      <c r="A85" t="n">
        <v>77</v>
      </c>
      <c r="B85">
        <f>MOD(A85^3+a*A85+b,prime)</f>
        <v/>
      </c>
      <c r="C85">
        <f>IF(MOD(B85,prime)=0,0,IF(SUMPRODUCT((MOD(ROW($A$1:$A$313)^2,prime)=MOD(B85,prime))*(ROW($A$1:$A$313)&lt;prime)*(MOD(ROW($A$1:$A$313),2)=1)*ROW($A$1:$A$313))=0,NA(),SUMPRODUCT((MOD(ROW($A$1:$A$313)^2,prime)=MOD(B85,prime))*(ROW($A$1:$A$313)&lt;prime)*(MOD(ROW($A$1:$A$313),2)=1)*ROW($A$1:$A$313))))</f>
        <v/>
      </c>
      <c r="D85">
        <f>IF(OR(NOT(ISNUMBER(C85)),C85=0),NA(),MOD(prime-C85,prime))</f>
        <v/>
      </c>
    </row>
    <row r="86">
      <c r="A86" t="n">
        <v>78</v>
      </c>
      <c r="B86">
        <f>MOD(A86^3+a*A86+b,prime)</f>
        <v/>
      </c>
      <c r="C86">
        <f>IF(MOD(B86,prime)=0,0,IF(SUMPRODUCT((MOD(ROW($A$1:$A$313)^2,prime)=MOD(B86,prime))*(ROW($A$1:$A$313)&lt;prime)*(MOD(ROW($A$1:$A$313),2)=1)*ROW($A$1:$A$313))=0,NA(),SUMPRODUCT((MOD(ROW($A$1:$A$313)^2,prime)=MOD(B86,prime))*(ROW($A$1:$A$313)&lt;prime)*(MOD(ROW($A$1:$A$313),2)=1)*ROW($A$1:$A$313))))</f>
        <v/>
      </c>
      <c r="D86">
        <f>IF(OR(NOT(ISNUMBER(C86)),C86=0),NA(),MOD(prime-C86,prime))</f>
        <v/>
      </c>
    </row>
    <row r="87">
      <c r="A87" t="n">
        <v>79</v>
      </c>
      <c r="B87">
        <f>MOD(A87^3+a*A87+b,prime)</f>
        <v/>
      </c>
      <c r="C87">
        <f>IF(MOD(B87,prime)=0,0,IF(SUMPRODUCT((MOD(ROW($A$1:$A$313)^2,prime)=MOD(B87,prime))*(ROW($A$1:$A$313)&lt;prime)*(MOD(ROW($A$1:$A$313),2)=1)*ROW($A$1:$A$313))=0,NA(),SUMPRODUCT((MOD(ROW($A$1:$A$313)^2,prime)=MOD(B87,prime))*(ROW($A$1:$A$313)&lt;prime)*(MOD(ROW($A$1:$A$313),2)=1)*ROW($A$1:$A$313))))</f>
        <v/>
      </c>
      <c r="D87">
        <f>IF(OR(NOT(ISNUMBER(C87)),C87=0),NA(),MOD(prime-C87,prime))</f>
        <v/>
      </c>
    </row>
    <row r="88">
      <c r="A88" t="n">
        <v>80</v>
      </c>
      <c r="B88">
        <f>MOD(A88^3+a*A88+b,prime)</f>
        <v/>
      </c>
      <c r="C88">
        <f>IF(MOD(B88,prime)=0,0,IF(SUMPRODUCT((MOD(ROW($A$1:$A$313)^2,prime)=MOD(B88,prime))*(ROW($A$1:$A$313)&lt;prime)*(MOD(ROW($A$1:$A$313),2)=1)*ROW($A$1:$A$313))=0,NA(),SUMPRODUCT((MOD(ROW($A$1:$A$313)^2,prime)=MOD(B88,prime))*(ROW($A$1:$A$313)&lt;prime)*(MOD(ROW($A$1:$A$313),2)=1)*ROW($A$1:$A$313))))</f>
        <v/>
      </c>
      <c r="D88">
        <f>IF(OR(NOT(ISNUMBER(C88)),C88=0),NA(),MOD(prime-C88,prime))</f>
        <v/>
      </c>
    </row>
    <row r="89">
      <c r="A89" t="n">
        <v>81</v>
      </c>
      <c r="B89">
        <f>MOD(A89^3+a*A89+b,prime)</f>
        <v/>
      </c>
      <c r="C89">
        <f>IF(MOD(B89,prime)=0,0,IF(SUMPRODUCT((MOD(ROW($A$1:$A$313)^2,prime)=MOD(B89,prime))*(ROW($A$1:$A$313)&lt;prime)*(MOD(ROW($A$1:$A$313),2)=1)*ROW($A$1:$A$313))=0,NA(),SUMPRODUCT((MOD(ROW($A$1:$A$313)^2,prime)=MOD(B89,prime))*(ROW($A$1:$A$313)&lt;prime)*(MOD(ROW($A$1:$A$313),2)=1)*ROW($A$1:$A$313))))</f>
        <v/>
      </c>
      <c r="D89">
        <f>IF(OR(NOT(ISNUMBER(C89)),C89=0),NA(),MOD(prime-C89,prime))</f>
        <v/>
      </c>
    </row>
    <row r="90">
      <c r="A90" t="n">
        <v>82</v>
      </c>
      <c r="B90">
        <f>MOD(A90^3+a*A90+b,prime)</f>
        <v/>
      </c>
      <c r="C90">
        <f>IF(MOD(B90,prime)=0,0,IF(SUMPRODUCT((MOD(ROW($A$1:$A$313)^2,prime)=MOD(B90,prime))*(ROW($A$1:$A$313)&lt;prime)*(MOD(ROW($A$1:$A$313),2)=1)*ROW($A$1:$A$313))=0,NA(),SUMPRODUCT((MOD(ROW($A$1:$A$313)^2,prime)=MOD(B90,prime))*(ROW($A$1:$A$313)&lt;prime)*(MOD(ROW($A$1:$A$313),2)=1)*ROW($A$1:$A$313))))</f>
        <v/>
      </c>
      <c r="D90">
        <f>IF(OR(NOT(ISNUMBER(C90)),C90=0),NA(),MOD(prime-C90,prime))</f>
        <v/>
      </c>
    </row>
    <row r="91">
      <c r="A91" t="n">
        <v>83</v>
      </c>
      <c r="B91">
        <f>MOD(A91^3+a*A91+b,prime)</f>
        <v/>
      </c>
      <c r="C91">
        <f>IF(MOD(B91,prime)=0,0,IF(SUMPRODUCT((MOD(ROW($A$1:$A$313)^2,prime)=MOD(B91,prime))*(ROW($A$1:$A$313)&lt;prime)*(MOD(ROW($A$1:$A$313),2)=1)*ROW($A$1:$A$313))=0,NA(),SUMPRODUCT((MOD(ROW($A$1:$A$313)^2,prime)=MOD(B91,prime))*(ROW($A$1:$A$313)&lt;prime)*(MOD(ROW($A$1:$A$313),2)=1)*ROW($A$1:$A$313))))</f>
        <v/>
      </c>
      <c r="D91">
        <f>IF(OR(NOT(ISNUMBER(C91)),C91=0),NA(),MOD(prime-C91,prime))</f>
        <v/>
      </c>
    </row>
    <row r="92">
      <c r="A92" t="n">
        <v>84</v>
      </c>
      <c r="B92">
        <f>MOD(A92^3+a*A92+b,prime)</f>
        <v/>
      </c>
      <c r="C92">
        <f>IF(MOD(B92,prime)=0,0,IF(SUMPRODUCT((MOD(ROW($A$1:$A$313)^2,prime)=MOD(B92,prime))*(ROW($A$1:$A$313)&lt;prime)*(MOD(ROW($A$1:$A$313),2)=1)*ROW($A$1:$A$313))=0,NA(),SUMPRODUCT((MOD(ROW($A$1:$A$313)^2,prime)=MOD(B92,prime))*(ROW($A$1:$A$313)&lt;prime)*(MOD(ROW($A$1:$A$313),2)=1)*ROW($A$1:$A$313))))</f>
        <v/>
      </c>
      <c r="D92">
        <f>IF(OR(NOT(ISNUMBER(C92)),C92=0),NA(),MOD(prime-C92,prime))</f>
        <v/>
      </c>
    </row>
    <row r="93">
      <c r="A93" t="n">
        <v>85</v>
      </c>
      <c r="B93">
        <f>MOD(A93^3+a*A93+b,prime)</f>
        <v/>
      </c>
      <c r="C93">
        <f>IF(MOD(B93,prime)=0,0,IF(SUMPRODUCT((MOD(ROW($A$1:$A$313)^2,prime)=MOD(B93,prime))*(ROW($A$1:$A$313)&lt;prime)*(MOD(ROW($A$1:$A$313),2)=1)*ROW($A$1:$A$313))=0,NA(),SUMPRODUCT((MOD(ROW($A$1:$A$313)^2,prime)=MOD(B93,prime))*(ROW($A$1:$A$313)&lt;prime)*(MOD(ROW($A$1:$A$313),2)=1)*ROW($A$1:$A$313))))</f>
        <v/>
      </c>
      <c r="D93">
        <f>IF(OR(NOT(ISNUMBER(C93)),C93=0),NA(),MOD(prime-C93,prime))</f>
        <v/>
      </c>
    </row>
    <row r="94">
      <c r="A94" t="n">
        <v>86</v>
      </c>
      <c r="B94">
        <f>MOD(A94^3+a*A94+b,prime)</f>
        <v/>
      </c>
      <c r="C94">
        <f>IF(MOD(B94,prime)=0,0,IF(SUMPRODUCT((MOD(ROW($A$1:$A$313)^2,prime)=MOD(B94,prime))*(ROW($A$1:$A$313)&lt;prime)*(MOD(ROW($A$1:$A$313),2)=1)*ROW($A$1:$A$313))=0,NA(),SUMPRODUCT((MOD(ROW($A$1:$A$313)^2,prime)=MOD(B94,prime))*(ROW($A$1:$A$313)&lt;prime)*(MOD(ROW($A$1:$A$313),2)=1)*ROW($A$1:$A$313))))</f>
        <v/>
      </c>
      <c r="D94">
        <f>IF(OR(NOT(ISNUMBER(C94)),C94=0),NA(),MOD(prime-C94,prime))</f>
        <v/>
      </c>
    </row>
    <row r="95">
      <c r="A95" t="n">
        <v>87</v>
      </c>
      <c r="B95">
        <f>MOD(A95^3+a*A95+b,prime)</f>
        <v/>
      </c>
      <c r="C95">
        <f>IF(MOD(B95,prime)=0,0,IF(SUMPRODUCT((MOD(ROW($A$1:$A$313)^2,prime)=MOD(B95,prime))*(ROW($A$1:$A$313)&lt;prime)*(MOD(ROW($A$1:$A$313),2)=1)*ROW($A$1:$A$313))=0,NA(),SUMPRODUCT((MOD(ROW($A$1:$A$313)^2,prime)=MOD(B95,prime))*(ROW($A$1:$A$313)&lt;prime)*(MOD(ROW($A$1:$A$313),2)=1)*ROW($A$1:$A$313))))</f>
        <v/>
      </c>
      <c r="D95">
        <f>IF(OR(NOT(ISNUMBER(C95)),C95=0),NA(),MOD(prime-C95,prime))</f>
        <v/>
      </c>
    </row>
    <row r="96">
      <c r="A96" t="n">
        <v>88</v>
      </c>
      <c r="B96">
        <f>MOD(A96^3+a*A96+b,prime)</f>
        <v/>
      </c>
      <c r="C96">
        <f>IF(MOD(B96,prime)=0,0,IF(SUMPRODUCT((MOD(ROW($A$1:$A$313)^2,prime)=MOD(B96,prime))*(ROW($A$1:$A$313)&lt;prime)*(MOD(ROW($A$1:$A$313),2)=1)*ROW($A$1:$A$313))=0,NA(),SUMPRODUCT((MOD(ROW($A$1:$A$313)^2,prime)=MOD(B96,prime))*(ROW($A$1:$A$313)&lt;prime)*(MOD(ROW($A$1:$A$313),2)=1)*ROW($A$1:$A$313))))</f>
        <v/>
      </c>
      <c r="D96">
        <f>IF(OR(NOT(ISNUMBER(C96)),C96=0),NA(),MOD(prime-C96,prime))</f>
        <v/>
      </c>
    </row>
    <row r="97">
      <c r="A97" t="n">
        <v>89</v>
      </c>
      <c r="B97">
        <f>MOD(A97^3+a*A97+b,prime)</f>
        <v/>
      </c>
      <c r="C97">
        <f>IF(MOD(B97,prime)=0,0,IF(SUMPRODUCT((MOD(ROW($A$1:$A$313)^2,prime)=MOD(B97,prime))*(ROW($A$1:$A$313)&lt;prime)*(MOD(ROW($A$1:$A$313),2)=1)*ROW($A$1:$A$313))=0,NA(),SUMPRODUCT((MOD(ROW($A$1:$A$313)^2,prime)=MOD(B97,prime))*(ROW($A$1:$A$313)&lt;prime)*(MOD(ROW($A$1:$A$313),2)=1)*ROW($A$1:$A$313))))</f>
        <v/>
      </c>
      <c r="D97">
        <f>IF(OR(NOT(ISNUMBER(C97)),C97=0),NA(),MOD(prime-C97,prime))</f>
        <v/>
      </c>
    </row>
    <row r="98">
      <c r="A98" t="n">
        <v>90</v>
      </c>
      <c r="B98">
        <f>MOD(A98^3+a*A98+b,prime)</f>
        <v/>
      </c>
      <c r="C98">
        <f>IF(MOD(B98,prime)=0,0,IF(SUMPRODUCT((MOD(ROW($A$1:$A$313)^2,prime)=MOD(B98,prime))*(ROW($A$1:$A$313)&lt;prime)*(MOD(ROW($A$1:$A$313),2)=1)*ROW($A$1:$A$313))=0,NA(),SUMPRODUCT((MOD(ROW($A$1:$A$313)^2,prime)=MOD(B98,prime))*(ROW($A$1:$A$313)&lt;prime)*(MOD(ROW($A$1:$A$313),2)=1)*ROW($A$1:$A$313))))</f>
        <v/>
      </c>
      <c r="D98">
        <f>IF(OR(NOT(ISNUMBER(C98)),C98=0),NA(),MOD(prime-C98,prime))</f>
        <v/>
      </c>
    </row>
    <row r="99">
      <c r="A99" t="n">
        <v>91</v>
      </c>
      <c r="B99">
        <f>MOD(A99^3+a*A99+b,prime)</f>
        <v/>
      </c>
      <c r="C99">
        <f>IF(MOD(B99,prime)=0,0,IF(SUMPRODUCT((MOD(ROW($A$1:$A$313)^2,prime)=MOD(B99,prime))*(ROW($A$1:$A$313)&lt;prime)*(MOD(ROW($A$1:$A$313),2)=1)*ROW($A$1:$A$313))=0,NA(),SUMPRODUCT((MOD(ROW($A$1:$A$313)^2,prime)=MOD(B99,prime))*(ROW($A$1:$A$313)&lt;prime)*(MOD(ROW($A$1:$A$313),2)=1)*ROW($A$1:$A$313))))</f>
        <v/>
      </c>
      <c r="D99">
        <f>IF(OR(NOT(ISNUMBER(C99)),C99=0),NA(),MOD(prime-C99,prime))</f>
        <v/>
      </c>
    </row>
    <row r="100">
      <c r="A100" t="n">
        <v>92</v>
      </c>
      <c r="B100">
        <f>MOD(A100^3+a*A100+b,prime)</f>
        <v/>
      </c>
      <c r="C100">
        <f>IF(MOD(B100,prime)=0,0,IF(SUMPRODUCT((MOD(ROW($A$1:$A$313)^2,prime)=MOD(B100,prime))*(ROW($A$1:$A$313)&lt;prime)*(MOD(ROW($A$1:$A$313),2)=1)*ROW($A$1:$A$313))=0,NA(),SUMPRODUCT((MOD(ROW($A$1:$A$313)^2,prime)=MOD(B100,prime))*(ROW($A$1:$A$313)&lt;prime)*(MOD(ROW($A$1:$A$313),2)=1)*ROW($A$1:$A$313))))</f>
        <v/>
      </c>
      <c r="D100">
        <f>IF(OR(NOT(ISNUMBER(C100)),C100=0),NA(),MOD(prime-C100,prime))</f>
        <v/>
      </c>
    </row>
    <row r="101">
      <c r="A101" t="n">
        <v>93</v>
      </c>
      <c r="B101">
        <f>MOD(A101^3+a*A101+b,prime)</f>
        <v/>
      </c>
      <c r="C101">
        <f>IF(MOD(B101,prime)=0,0,IF(SUMPRODUCT((MOD(ROW($A$1:$A$313)^2,prime)=MOD(B101,prime))*(ROW($A$1:$A$313)&lt;prime)*(MOD(ROW($A$1:$A$313),2)=1)*ROW($A$1:$A$313))=0,NA(),SUMPRODUCT((MOD(ROW($A$1:$A$313)^2,prime)=MOD(B101,prime))*(ROW($A$1:$A$313)&lt;prime)*(MOD(ROW($A$1:$A$313),2)=1)*ROW($A$1:$A$313))))</f>
        <v/>
      </c>
      <c r="D101">
        <f>IF(OR(NOT(ISNUMBER(C101)),C101=0),NA(),MOD(prime-C101,prime))</f>
        <v/>
      </c>
    </row>
    <row r="102">
      <c r="A102" t="n">
        <v>94</v>
      </c>
      <c r="B102">
        <f>MOD(A102^3+a*A102+b,prime)</f>
        <v/>
      </c>
      <c r="C102">
        <f>IF(MOD(B102,prime)=0,0,IF(SUMPRODUCT((MOD(ROW($A$1:$A$313)^2,prime)=MOD(B102,prime))*(ROW($A$1:$A$313)&lt;prime)*(MOD(ROW($A$1:$A$313),2)=1)*ROW($A$1:$A$313))=0,NA(),SUMPRODUCT((MOD(ROW($A$1:$A$313)^2,prime)=MOD(B102,prime))*(ROW($A$1:$A$313)&lt;prime)*(MOD(ROW($A$1:$A$313),2)=1)*ROW($A$1:$A$313))))</f>
        <v/>
      </c>
      <c r="D102">
        <f>IF(OR(NOT(ISNUMBER(C102)),C102=0),NA(),MOD(prime-C102,prime))</f>
        <v/>
      </c>
    </row>
    <row r="103">
      <c r="A103" t="n">
        <v>95</v>
      </c>
      <c r="B103">
        <f>MOD(A103^3+a*A103+b,prime)</f>
        <v/>
      </c>
      <c r="C103">
        <f>IF(MOD(B103,prime)=0,0,IF(SUMPRODUCT((MOD(ROW($A$1:$A$313)^2,prime)=MOD(B103,prime))*(ROW($A$1:$A$313)&lt;prime)*(MOD(ROW($A$1:$A$313),2)=1)*ROW($A$1:$A$313))=0,NA(),SUMPRODUCT((MOD(ROW($A$1:$A$313)^2,prime)=MOD(B103,prime))*(ROW($A$1:$A$313)&lt;prime)*(MOD(ROW($A$1:$A$313),2)=1)*ROW($A$1:$A$313))))</f>
        <v/>
      </c>
      <c r="D103">
        <f>IF(OR(NOT(ISNUMBER(C103)),C103=0),NA(),MOD(prime-C103,prime))</f>
        <v/>
      </c>
    </row>
    <row r="104">
      <c r="A104" t="n">
        <v>96</v>
      </c>
      <c r="B104">
        <f>MOD(A104^3+a*A104+b,prime)</f>
        <v/>
      </c>
      <c r="C104">
        <f>IF(MOD(B104,prime)=0,0,IF(SUMPRODUCT((MOD(ROW($A$1:$A$313)^2,prime)=MOD(B104,prime))*(ROW($A$1:$A$313)&lt;prime)*(MOD(ROW($A$1:$A$313),2)=1)*ROW($A$1:$A$313))=0,NA(),SUMPRODUCT((MOD(ROW($A$1:$A$313)^2,prime)=MOD(B104,prime))*(ROW($A$1:$A$313)&lt;prime)*(MOD(ROW($A$1:$A$313),2)=1)*ROW($A$1:$A$313))))</f>
        <v/>
      </c>
      <c r="D104">
        <f>IF(OR(NOT(ISNUMBER(C104)),C104=0),NA(),MOD(prime-C104,prime))</f>
        <v/>
      </c>
    </row>
    <row r="105">
      <c r="A105" t="n">
        <v>97</v>
      </c>
      <c r="B105">
        <f>MOD(A105^3+a*A105+b,prime)</f>
        <v/>
      </c>
      <c r="C105">
        <f>IF(MOD(B105,prime)=0,0,IF(SUMPRODUCT((MOD(ROW($A$1:$A$313)^2,prime)=MOD(B105,prime))*(ROW($A$1:$A$313)&lt;prime)*(MOD(ROW($A$1:$A$313),2)=1)*ROW($A$1:$A$313))=0,NA(),SUMPRODUCT((MOD(ROW($A$1:$A$313)^2,prime)=MOD(B105,prime))*(ROW($A$1:$A$313)&lt;prime)*(MOD(ROW($A$1:$A$313),2)=1)*ROW($A$1:$A$313))))</f>
        <v/>
      </c>
      <c r="D105">
        <f>IF(OR(NOT(ISNUMBER(C105)),C105=0),NA(),MOD(prime-C105,prime))</f>
        <v/>
      </c>
    </row>
    <row r="106">
      <c r="A106" t="n">
        <v>98</v>
      </c>
      <c r="B106">
        <f>MOD(A106^3+a*A106+b,prime)</f>
        <v/>
      </c>
      <c r="C106">
        <f>IF(MOD(B106,prime)=0,0,IF(SUMPRODUCT((MOD(ROW($A$1:$A$313)^2,prime)=MOD(B106,prime))*(ROW($A$1:$A$313)&lt;prime)*(MOD(ROW($A$1:$A$313),2)=1)*ROW($A$1:$A$313))=0,NA(),SUMPRODUCT((MOD(ROW($A$1:$A$313)^2,prime)=MOD(B106,prime))*(ROW($A$1:$A$313)&lt;prime)*(MOD(ROW($A$1:$A$313),2)=1)*ROW($A$1:$A$313))))</f>
        <v/>
      </c>
      <c r="D106">
        <f>IF(OR(NOT(ISNUMBER(C106)),C106=0),NA(),MOD(prime-C106,prime))</f>
        <v/>
      </c>
    </row>
    <row r="107">
      <c r="A107" t="n">
        <v>99</v>
      </c>
      <c r="B107">
        <f>MOD(A107^3+a*A107+b,prime)</f>
        <v/>
      </c>
      <c r="C107">
        <f>IF(MOD(B107,prime)=0,0,IF(SUMPRODUCT((MOD(ROW($A$1:$A$313)^2,prime)=MOD(B107,prime))*(ROW($A$1:$A$313)&lt;prime)*(MOD(ROW($A$1:$A$313),2)=1)*ROW($A$1:$A$313))=0,NA(),SUMPRODUCT((MOD(ROW($A$1:$A$313)^2,prime)=MOD(B107,prime))*(ROW($A$1:$A$313)&lt;prime)*(MOD(ROW($A$1:$A$313),2)=1)*ROW($A$1:$A$313))))</f>
        <v/>
      </c>
      <c r="D107">
        <f>IF(OR(NOT(ISNUMBER(C107)),C107=0),NA(),MOD(prime-C107,prime))</f>
        <v/>
      </c>
    </row>
    <row r="108">
      <c r="A108" t="n">
        <v>100</v>
      </c>
      <c r="B108">
        <f>MOD(A108^3+a*A108+b,prime)</f>
        <v/>
      </c>
      <c r="C108">
        <f>IF(MOD(B108,prime)=0,0,IF(SUMPRODUCT((MOD(ROW($A$1:$A$313)^2,prime)=MOD(B108,prime))*(ROW($A$1:$A$313)&lt;prime)*(MOD(ROW($A$1:$A$313),2)=1)*ROW($A$1:$A$313))=0,NA(),SUMPRODUCT((MOD(ROW($A$1:$A$313)^2,prime)=MOD(B108,prime))*(ROW($A$1:$A$313)&lt;prime)*(MOD(ROW($A$1:$A$313),2)=1)*ROW($A$1:$A$313))))</f>
        <v/>
      </c>
      <c r="D108">
        <f>IF(OR(NOT(ISNUMBER(C108)),C108=0),NA(),MOD(prime-C108,prime))</f>
        <v/>
      </c>
    </row>
    <row r="109">
      <c r="A109" t="n">
        <v>101</v>
      </c>
      <c r="B109">
        <f>MOD(A109^3+a*A109+b,prime)</f>
        <v/>
      </c>
      <c r="C109">
        <f>IF(MOD(B109,prime)=0,0,IF(SUMPRODUCT((MOD(ROW($A$1:$A$313)^2,prime)=MOD(B109,prime))*(ROW($A$1:$A$313)&lt;prime)*(MOD(ROW($A$1:$A$313),2)=1)*ROW($A$1:$A$313))=0,NA(),SUMPRODUCT((MOD(ROW($A$1:$A$313)^2,prime)=MOD(B109,prime))*(ROW($A$1:$A$313)&lt;prime)*(MOD(ROW($A$1:$A$313),2)=1)*ROW($A$1:$A$313))))</f>
        <v/>
      </c>
      <c r="D109">
        <f>IF(OR(NOT(ISNUMBER(C109)),C109=0),NA(),MOD(prime-C109,prime))</f>
        <v/>
      </c>
    </row>
    <row r="110">
      <c r="A110" t="n">
        <v>102</v>
      </c>
      <c r="B110">
        <f>MOD(A110^3+a*A110+b,prime)</f>
        <v/>
      </c>
      <c r="C110">
        <f>IF(MOD(B110,prime)=0,0,IF(SUMPRODUCT((MOD(ROW($A$1:$A$313)^2,prime)=MOD(B110,prime))*(ROW($A$1:$A$313)&lt;prime)*(MOD(ROW($A$1:$A$313),2)=1)*ROW($A$1:$A$313))=0,NA(),SUMPRODUCT((MOD(ROW($A$1:$A$313)^2,prime)=MOD(B110,prime))*(ROW($A$1:$A$313)&lt;prime)*(MOD(ROW($A$1:$A$313),2)=1)*ROW($A$1:$A$313))))</f>
        <v/>
      </c>
      <c r="D110">
        <f>IF(OR(NOT(ISNUMBER(C110)),C110=0),NA(),MOD(prime-C110,prime))</f>
        <v/>
      </c>
    </row>
    <row r="111">
      <c r="A111" t="n">
        <v>103</v>
      </c>
      <c r="B111">
        <f>MOD(A111^3+a*A111+b,prime)</f>
        <v/>
      </c>
      <c r="C111">
        <f>IF(MOD(B111,prime)=0,0,IF(SUMPRODUCT((MOD(ROW($A$1:$A$313)^2,prime)=MOD(B111,prime))*(ROW($A$1:$A$313)&lt;prime)*(MOD(ROW($A$1:$A$313),2)=1)*ROW($A$1:$A$313))=0,NA(),SUMPRODUCT((MOD(ROW($A$1:$A$313)^2,prime)=MOD(B111,prime))*(ROW($A$1:$A$313)&lt;prime)*(MOD(ROW($A$1:$A$313),2)=1)*ROW($A$1:$A$313))))</f>
        <v/>
      </c>
      <c r="D111">
        <f>IF(OR(NOT(ISNUMBER(C111)),C111=0),NA(),MOD(prime-C111,prime))</f>
        <v/>
      </c>
    </row>
    <row r="112">
      <c r="A112" t="n">
        <v>104</v>
      </c>
      <c r="B112">
        <f>MOD(A112^3+a*A112+b,prime)</f>
        <v/>
      </c>
      <c r="C112">
        <f>IF(MOD(B112,prime)=0,0,IF(SUMPRODUCT((MOD(ROW($A$1:$A$313)^2,prime)=MOD(B112,prime))*(ROW($A$1:$A$313)&lt;prime)*(MOD(ROW($A$1:$A$313),2)=1)*ROW($A$1:$A$313))=0,NA(),SUMPRODUCT((MOD(ROW($A$1:$A$313)^2,prime)=MOD(B112,prime))*(ROW($A$1:$A$313)&lt;prime)*(MOD(ROW($A$1:$A$313),2)=1)*ROW($A$1:$A$313))))</f>
        <v/>
      </c>
      <c r="D112">
        <f>IF(OR(NOT(ISNUMBER(C112)),C112=0),NA(),MOD(prime-C112,prime))</f>
        <v/>
      </c>
    </row>
    <row r="113">
      <c r="A113" t="n">
        <v>105</v>
      </c>
      <c r="B113">
        <f>MOD(A113^3+a*A113+b,prime)</f>
        <v/>
      </c>
      <c r="C113">
        <f>IF(MOD(B113,prime)=0,0,IF(SUMPRODUCT((MOD(ROW($A$1:$A$313)^2,prime)=MOD(B113,prime))*(ROW($A$1:$A$313)&lt;prime)*(MOD(ROW($A$1:$A$313),2)=1)*ROW($A$1:$A$313))=0,NA(),SUMPRODUCT((MOD(ROW($A$1:$A$313)^2,prime)=MOD(B113,prime))*(ROW($A$1:$A$313)&lt;prime)*(MOD(ROW($A$1:$A$313),2)=1)*ROW($A$1:$A$313))))</f>
        <v/>
      </c>
      <c r="D113">
        <f>IF(OR(NOT(ISNUMBER(C113)),C113=0),NA(),MOD(prime-C113,prime))</f>
        <v/>
      </c>
    </row>
    <row r="114">
      <c r="A114" t="n">
        <v>106</v>
      </c>
      <c r="B114">
        <f>MOD(A114^3+a*A114+b,prime)</f>
        <v/>
      </c>
      <c r="C114">
        <f>IF(MOD(B114,prime)=0,0,IF(SUMPRODUCT((MOD(ROW($A$1:$A$313)^2,prime)=MOD(B114,prime))*(ROW($A$1:$A$313)&lt;prime)*(MOD(ROW($A$1:$A$313),2)=1)*ROW($A$1:$A$313))=0,NA(),SUMPRODUCT((MOD(ROW($A$1:$A$313)^2,prime)=MOD(B114,prime))*(ROW($A$1:$A$313)&lt;prime)*(MOD(ROW($A$1:$A$313),2)=1)*ROW($A$1:$A$313))))</f>
        <v/>
      </c>
      <c r="D114">
        <f>IF(OR(NOT(ISNUMBER(C114)),C114=0),NA(),MOD(prime-C114,prime))</f>
        <v/>
      </c>
    </row>
    <row r="115">
      <c r="A115" t="n">
        <v>107</v>
      </c>
      <c r="B115">
        <f>MOD(A115^3+a*A115+b,prime)</f>
        <v/>
      </c>
      <c r="C115">
        <f>IF(MOD(B115,prime)=0,0,IF(SUMPRODUCT((MOD(ROW($A$1:$A$313)^2,prime)=MOD(B115,prime))*(ROW($A$1:$A$313)&lt;prime)*(MOD(ROW($A$1:$A$313),2)=1)*ROW($A$1:$A$313))=0,NA(),SUMPRODUCT((MOD(ROW($A$1:$A$313)^2,prime)=MOD(B115,prime))*(ROW($A$1:$A$313)&lt;prime)*(MOD(ROW($A$1:$A$313),2)=1)*ROW($A$1:$A$313))))</f>
        <v/>
      </c>
      <c r="D115">
        <f>IF(OR(NOT(ISNUMBER(C115)),C115=0),NA(),MOD(prime-C115,prime))</f>
        <v/>
      </c>
    </row>
    <row r="116">
      <c r="A116" t="n">
        <v>108</v>
      </c>
      <c r="B116">
        <f>MOD(A116^3+a*A116+b,prime)</f>
        <v/>
      </c>
      <c r="C116">
        <f>IF(MOD(B116,prime)=0,0,IF(SUMPRODUCT((MOD(ROW($A$1:$A$313)^2,prime)=MOD(B116,prime))*(ROW($A$1:$A$313)&lt;prime)*(MOD(ROW($A$1:$A$313),2)=1)*ROW($A$1:$A$313))=0,NA(),SUMPRODUCT((MOD(ROW($A$1:$A$313)^2,prime)=MOD(B116,prime))*(ROW($A$1:$A$313)&lt;prime)*(MOD(ROW($A$1:$A$313),2)=1)*ROW($A$1:$A$313))))</f>
        <v/>
      </c>
      <c r="D116">
        <f>IF(OR(NOT(ISNUMBER(C116)),C116=0),NA(),MOD(prime-C116,prime))</f>
        <v/>
      </c>
    </row>
    <row r="117">
      <c r="A117" t="n">
        <v>109</v>
      </c>
      <c r="B117">
        <f>MOD(A117^3+a*A117+b,prime)</f>
        <v/>
      </c>
      <c r="C117">
        <f>IF(MOD(B117,prime)=0,0,IF(SUMPRODUCT((MOD(ROW($A$1:$A$313)^2,prime)=MOD(B117,prime))*(ROW($A$1:$A$313)&lt;prime)*(MOD(ROW($A$1:$A$313),2)=1)*ROW($A$1:$A$313))=0,NA(),SUMPRODUCT((MOD(ROW($A$1:$A$313)^2,prime)=MOD(B117,prime))*(ROW($A$1:$A$313)&lt;prime)*(MOD(ROW($A$1:$A$313),2)=1)*ROW($A$1:$A$313))))</f>
        <v/>
      </c>
      <c r="D117">
        <f>IF(OR(NOT(ISNUMBER(C117)),C117=0),NA(),MOD(prime-C117,prime))</f>
        <v/>
      </c>
    </row>
    <row r="118">
      <c r="A118" t="n">
        <v>110</v>
      </c>
      <c r="B118">
        <f>MOD(A118^3+a*A118+b,prime)</f>
        <v/>
      </c>
      <c r="C118">
        <f>IF(MOD(B118,prime)=0,0,IF(SUMPRODUCT((MOD(ROW($A$1:$A$313)^2,prime)=MOD(B118,prime))*(ROW($A$1:$A$313)&lt;prime)*(MOD(ROW($A$1:$A$313),2)=1)*ROW($A$1:$A$313))=0,NA(),SUMPRODUCT((MOD(ROW($A$1:$A$313)^2,prime)=MOD(B118,prime))*(ROW($A$1:$A$313)&lt;prime)*(MOD(ROW($A$1:$A$313),2)=1)*ROW($A$1:$A$313))))</f>
        <v/>
      </c>
      <c r="D118">
        <f>IF(OR(NOT(ISNUMBER(C118)),C118=0),NA(),MOD(prime-C118,prime))</f>
        <v/>
      </c>
    </row>
    <row r="119">
      <c r="A119" t="n">
        <v>111</v>
      </c>
      <c r="B119">
        <f>MOD(A119^3+a*A119+b,prime)</f>
        <v/>
      </c>
      <c r="C119">
        <f>IF(MOD(B119,prime)=0,0,IF(SUMPRODUCT((MOD(ROW($A$1:$A$313)^2,prime)=MOD(B119,prime))*(ROW($A$1:$A$313)&lt;prime)*(MOD(ROW($A$1:$A$313),2)=1)*ROW($A$1:$A$313))=0,NA(),SUMPRODUCT((MOD(ROW($A$1:$A$313)^2,prime)=MOD(B119,prime))*(ROW($A$1:$A$313)&lt;prime)*(MOD(ROW($A$1:$A$313),2)=1)*ROW($A$1:$A$313))))</f>
        <v/>
      </c>
      <c r="D119">
        <f>IF(OR(NOT(ISNUMBER(C119)),C119=0),NA(),MOD(prime-C119,prime))</f>
        <v/>
      </c>
    </row>
    <row r="120">
      <c r="A120" t="n">
        <v>112</v>
      </c>
      <c r="B120">
        <f>MOD(A120^3+a*A120+b,prime)</f>
        <v/>
      </c>
      <c r="C120">
        <f>IF(MOD(B120,prime)=0,0,IF(SUMPRODUCT((MOD(ROW($A$1:$A$313)^2,prime)=MOD(B120,prime))*(ROW($A$1:$A$313)&lt;prime)*(MOD(ROW($A$1:$A$313),2)=1)*ROW($A$1:$A$313))=0,NA(),SUMPRODUCT((MOD(ROW($A$1:$A$313)^2,prime)=MOD(B120,prime))*(ROW($A$1:$A$313)&lt;prime)*(MOD(ROW($A$1:$A$313),2)=1)*ROW($A$1:$A$313))))</f>
        <v/>
      </c>
      <c r="D120">
        <f>IF(OR(NOT(ISNUMBER(C120)),C120=0),NA(),MOD(prime-C120,prime))</f>
        <v/>
      </c>
    </row>
    <row r="121">
      <c r="A121" t="n">
        <v>113</v>
      </c>
      <c r="B121">
        <f>MOD(A121^3+a*A121+b,prime)</f>
        <v/>
      </c>
      <c r="C121">
        <f>IF(MOD(B121,prime)=0,0,IF(SUMPRODUCT((MOD(ROW($A$1:$A$313)^2,prime)=MOD(B121,prime))*(ROW($A$1:$A$313)&lt;prime)*(MOD(ROW($A$1:$A$313),2)=1)*ROW($A$1:$A$313))=0,NA(),SUMPRODUCT((MOD(ROW($A$1:$A$313)^2,prime)=MOD(B121,prime))*(ROW($A$1:$A$313)&lt;prime)*(MOD(ROW($A$1:$A$313),2)=1)*ROW($A$1:$A$313))))</f>
        <v/>
      </c>
      <c r="D121">
        <f>IF(OR(NOT(ISNUMBER(C121)),C121=0),NA(),MOD(prime-C121,prime))</f>
        <v/>
      </c>
    </row>
    <row r="122">
      <c r="A122" t="n">
        <v>114</v>
      </c>
      <c r="B122">
        <f>MOD(A122^3+a*A122+b,prime)</f>
        <v/>
      </c>
      <c r="C122">
        <f>IF(MOD(B122,prime)=0,0,IF(SUMPRODUCT((MOD(ROW($A$1:$A$313)^2,prime)=MOD(B122,prime))*(ROW($A$1:$A$313)&lt;prime)*(MOD(ROW($A$1:$A$313),2)=1)*ROW($A$1:$A$313))=0,NA(),SUMPRODUCT((MOD(ROW($A$1:$A$313)^2,prime)=MOD(B122,prime))*(ROW($A$1:$A$313)&lt;prime)*(MOD(ROW($A$1:$A$313),2)=1)*ROW($A$1:$A$313))))</f>
        <v/>
      </c>
      <c r="D122">
        <f>IF(OR(NOT(ISNUMBER(C122)),C122=0),NA(),MOD(prime-C122,prime))</f>
        <v/>
      </c>
    </row>
    <row r="123">
      <c r="A123" t="n">
        <v>115</v>
      </c>
      <c r="B123">
        <f>MOD(A123^3+a*A123+b,prime)</f>
        <v/>
      </c>
      <c r="C123">
        <f>IF(MOD(B123,prime)=0,0,IF(SUMPRODUCT((MOD(ROW($A$1:$A$313)^2,prime)=MOD(B123,prime))*(ROW($A$1:$A$313)&lt;prime)*(MOD(ROW($A$1:$A$313),2)=1)*ROW($A$1:$A$313))=0,NA(),SUMPRODUCT((MOD(ROW($A$1:$A$313)^2,prime)=MOD(B123,prime))*(ROW($A$1:$A$313)&lt;prime)*(MOD(ROW($A$1:$A$313),2)=1)*ROW($A$1:$A$313))))</f>
        <v/>
      </c>
      <c r="D123">
        <f>IF(OR(NOT(ISNUMBER(C123)),C123=0),NA(),MOD(prime-C123,prime))</f>
        <v/>
      </c>
    </row>
    <row r="124">
      <c r="A124" t="n">
        <v>116</v>
      </c>
      <c r="B124">
        <f>MOD(A124^3+a*A124+b,prime)</f>
        <v/>
      </c>
      <c r="C124">
        <f>IF(MOD(B124,prime)=0,0,IF(SUMPRODUCT((MOD(ROW($A$1:$A$313)^2,prime)=MOD(B124,prime))*(ROW($A$1:$A$313)&lt;prime)*(MOD(ROW($A$1:$A$313),2)=1)*ROW($A$1:$A$313))=0,NA(),SUMPRODUCT((MOD(ROW($A$1:$A$313)^2,prime)=MOD(B124,prime))*(ROW($A$1:$A$313)&lt;prime)*(MOD(ROW($A$1:$A$313),2)=1)*ROW($A$1:$A$313))))</f>
        <v/>
      </c>
      <c r="D124">
        <f>IF(OR(NOT(ISNUMBER(C124)),C124=0),NA(),MOD(prime-C124,prime))</f>
        <v/>
      </c>
    </row>
    <row r="125">
      <c r="A125" t="n">
        <v>117</v>
      </c>
      <c r="B125">
        <f>MOD(A125^3+a*A125+b,prime)</f>
        <v/>
      </c>
      <c r="C125">
        <f>IF(MOD(B125,prime)=0,0,IF(SUMPRODUCT((MOD(ROW($A$1:$A$313)^2,prime)=MOD(B125,prime))*(ROW($A$1:$A$313)&lt;prime)*(MOD(ROW($A$1:$A$313),2)=1)*ROW($A$1:$A$313))=0,NA(),SUMPRODUCT((MOD(ROW($A$1:$A$313)^2,prime)=MOD(B125,prime))*(ROW($A$1:$A$313)&lt;prime)*(MOD(ROW($A$1:$A$313),2)=1)*ROW($A$1:$A$313))))</f>
        <v/>
      </c>
      <c r="D125">
        <f>IF(OR(NOT(ISNUMBER(C125)),C125=0),NA(),MOD(prime-C125,prime))</f>
        <v/>
      </c>
    </row>
    <row r="126">
      <c r="A126" t="n">
        <v>118</v>
      </c>
      <c r="B126">
        <f>MOD(A126^3+a*A126+b,prime)</f>
        <v/>
      </c>
      <c r="C126">
        <f>IF(MOD(B126,prime)=0,0,IF(SUMPRODUCT((MOD(ROW($A$1:$A$313)^2,prime)=MOD(B126,prime))*(ROW($A$1:$A$313)&lt;prime)*(MOD(ROW($A$1:$A$313),2)=1)*ROW($A$1:$A$313))=0,NA(),SUMPRODUCT((MOD(ROW($A$1:$A$313)^2,prime)=MOD(B126,prime))*(ROW($A$1:$A$313)&lt;prime)*(MOD(ROW($A$1:$A$313),2)=1)*ROW($A$1:$A$313))))</f>
        <v/>
      </c>
      <c r="D126">
        <f>IF(OR(NOT(ISNUMBER(C126)),C126=0),NA(),MOD(prime-C126,prime))</f>
        <v/>
      </c>
    </row>
    <row r="127">
      <c r="A127" t="n">
        <v>119</v>
      </c>
      <c r="B127">
        <f>MOD(A127^3+a*A127+b,prime)</f>
        <v/>
      </c>
      <c r="C127">
        <f>IF(MOD(B127,prime)=0,0,IF(SUMPRODUCT((MOD(ROW($A$1:$A$313)^2,prime)=MOD(B127,prime))*(ROW($A$1:$A$313)&lt;prime)*(MOD(ROW($A$1:$A$313),2)=1)*ROW($A$1:$A$313))=0,NA(),SUMPRODUCT((MOD(ROW($A$1:$A$313)^2,prime)=MOD(B127,prime))*(ROW($A$1:$A$313)&lt;prime)*(MOD(ROW($A$1:$A$313),2)=1)*ROW($A$1:$A$313))))</f>
        <v/>
      </c>
      <c r="D127">
        <f>IF(OR(NOT(ISNUMBER(C127)),C127=0),NA(),MOD(prime-C127,prime))</f>
        <v/>
      </c>
    </row>
    <row r="128">
      <c r="A128" t="n">
        <v>120</v>
      </c>
      <c r="B128">
        <f>MOD(A128^3+a*A128+b,prime)</f>
        <v/>
      </c>
      <c r="C128">
        <f>IF(MOD(B128,prime)=0,0,IF(SUMPRODUCT((MOD(ROW($A$1:$A$313)^2,prime)=MOD(B128,prime))*(ROW($A$1:$A$313)&lt;prime)*(MOD(ROW($A$1:$A$313),2)=1)*ROW($A$1:$A$313))=0,NA(),SUMPRODUCT((MOD(ROW($A$1:$A$313)^2,prime)=MOD(B128,prime))*(ROW($A$1:$A$313)&lt;prime)*(MOD(ROW($A$1:$A$313),2)=1)*ROW($A$1:$A$313))))</f>
        <v/>
      </c>
      <c r="D128">
        <f>IF(OR(NOT(ISNUMBER(C128)),C128=0),NA(),MOD(prime-C128,prime))</f>
        <v/>
      </c>
    </row>
    <row r="129">
      <c r="A129" t="n">
        <v>121</v>
      </c>
      <c r="B129">
        <f>MOD(A129^3+a*A129+b,prime)</f>
        <v/>
      </c>
      <c r="C129">
        <f>IF(MOD(B129,prime)=0,0,IF(SUMPRODUCT((MOD(ROW($A$1:$A$313)^2,prime)=MOD(B129,prime))*(ROW($A$1:$A$313)&lt;prime)*(MOD(ROW($A$1:$A$313),2)=1)*ROW($A$1:$A$313))=0,NA(),SUMPRODUCT((MOD(ROW($A$1:$A$313)^2,prime)=MOD(B129,prime))*(ROW($A$1:$A$313)&lt;prime)*(MOD(ROW($A$1:$A$313),2)=1)*ROW($A$1:$A$313))))</f>
        <v/>
      </c>
      <c r="D129">
        <f>IF(OR(NOT(ISNUMBER(C129)),C129=0),NA(),MOD(prime-C129,prime))</f>
        <v/>
      </c>
    </row>
    <row r="130">
      <c r="A130" t="n">
        <v>122</v>
      </c>
      <c r="B130">
        <f>MOD(A130^3+a*A130+b,prime)</f>
        <v/>
      </c>
      <c r="C130">
        <f>IF(MOD(B130,prime)=0,0,IF(SUMPRODUCT((MOD(ROW($A$1:$A$313)^2,prime)=MOD(B130,prime))*(ROW($A$1:$A$313)&lt;prime)*(MOD(ROW($A$1:$A$313),2)=1)*ROW($A$1:$A$313))=0,NA(),SUMPRODUCT((MOD(ROW($A$1:$A$313)^2,prime)=MOD(B130,prime))*(ROW($A$1:$A$313)&lt;prime)*(MOD(ROW($A$1:$A$313),2)=1)*ROW($A$1:$A$313))))</f>
        <v/>
      </c>
      <c r="D130">
        <f>IF(OR(NOT(ISNUMBER(C130)),C130=0),NA(),MOD(prime-C130,prime))</f>
        <v/>
      </c>
    </row>
    <row r="131">
      <c r="A131" t="n">
        <v>123</v>
      </c>
      <c r="B131">
        <f>MOD(A131^3+a*A131+b,prime)</f>
        <v/>
      </c>
      <c r="C131">
        <f>IF(MOD(B131,prime)=0,0,IF(SUMPRODUCT((MOD(ROW($A$1:$A$313)^2,prime)=MOD(B131,prime))*(ROW($A$1:$A$313)&lt;prime)*(MOD(ROW($A$1:$A$313),2)=1)*ROW($A$1:$A$313))=0,NA(),SUMPRODUCT((MOD(ROW($A$1:$A$313)^2,prime)=MOD(B131,prime))*(ROW($A$1:$A$313)&lt;prime)*(MOD(ROW($A$1:$A$313),2)=1)*ROW($A$1:$A$313))))</f>
        <v/>
      </c>
      <c r="D131">
        <f>IF(OR(NOT(ISNUMBER(C131)),C131=0),NA(),MOD(prime-C131,prime))</f>
        <v/>
      </c>
    </row>
    <row r="132">
      <c r="A132" t="n">
        <v>124</v>
      </c>
      <c r="B132">
        <f>MOD(A132^3+a*A132+b,prime)</f>
        <v/>
      </c>
      <c r="C132">
        <f>IF(MOD(B132,prime)=0,0,IF(SUMPRODUCT((MOD(ROW($A$1:$A$313)^2,prime)=MOD(B132,prime))*(ROW($A$1:$A$313)&lt;prime)*(MOD(ROW($A$1:$A$313),2)=1)*ROW($A$1:$A$313))=0,NA(),SUMPRODUCT((MOD(ROW($A$1:$A$313)^2,prime)=MOD(B132,prime))*(ROW($A$1:$A$313)&lt;prime)*(MOD(ROW($A$1:$A$313),2)=1)*ROW($A$1:$A$313))))</f>
        <v/>
      </c>
      <c r="D132">
        <f>IF(OR(NOT(ISNUMBER(C132)),C132=0),NA(),MOD(prime-C132,prime))</f>
        <v/>
      </c>
    </row>
    <row r="133">
      <c r="A133" t="n">
        <v>125</v>
      </c>
      <c r="B133">
        <f>MOD(A133^3+a*A133+b,prime)</f>
        <v/>
      </c>
      <c r="C133">
        <f>IF(MOD(B133,prime)=0,0,IF(SUMPRODUCT((MOD(ROW($A$1:$A$313)^2,prime)=MOD(B133,prime))*(ROW($A$1:$A$313)&lt;prime)*(MOD(ROW($A$1:$A$313),2)=1)*ROW($A$1:$A$313))=0,NA(),SUMPRODUCT((MOD(ROW($A$1:$A$313)^2,prime)=MOD(B133,prime))*(ROW($A$1:$A$313)&lt;prime)*(MOD(ROW($A$1:$A$313),2)=1)*ROW($A$1:$A$313))))</f>
        <v/>
      </c>
      <c r="D133">
        <f>IF(OR(NOT(ISNUMBER(C133)),C133=0),NA(),MOD(prime-C133,prime))</f>
        <v/>
      </c>
    </row>
    <row r="134">
      <c r="A134" t="n">
        <v>126</v>
      </c>
      <c r="B134">
        <f>MOD(A134^3+a*A134+b,prime)</f>
        <v/>
      </c>
      <c r="C134">
        <f>IF(MOD(B134,prime)=0,0,IF(SUMPRODUCT((MOD(ROW($A$1:$A$313)^2,prime)=MOD(B134,prime))*(ROW($A$1:$A$313)&lt;prime)*(MOD(ROW($A$1:$A$313),2)=1)*ROW($A$1:$A$313))=0,NA(),SUMPRODUCT((MOD(ROW($A$1:$A$313)^2,prime)=MOD(B134,prime))*(ROW($A$1:$A$313)&lt;prime)*(MOD(ROW($A$1:$A$313),2)=1)*ROW($A$1:$A$313))))</f>
        <v/>
      </c>
      <c r="D134">
        <f>IF(OR(NOT(ISNUMBER(C134)),C134=0),NA(),MOD(prime-C134,prime))</f>
        <v/>
      </c>
    </row>
    <row r="135">
      <c r="A135" t="n">
        <v>127</v>
      </c>
      <c r="B135">
        <f>MOD(A135^3+a*A135+b,prime)</f>
        <v/>
      </c>
      <c r="C135">
        <f>IF(MOD(B135,prime)=0,0,IF(SUMPRODUCT((MOD(ROW($A$1:$A$313)^2,prime)=MOD(B135,prime))*(ROW($A$1:$A$313)&lt;prime)*(MOD(ROW($A$1:$A$313),2)=1)*ROW($A$1:$A$313))=0,NA(),SUMPRODUCT((MOD(ROW($A$1:$A$313)^2,prime)=MOD(B135,prime))*(ROW($A$1:$A$313)&lt;prime)*(MOD(ROW($A$1:$A$313),2)=1)*ROW($A$1:$A$313))))</f>
        <v/>
      </c>
      <c r="D135">
        <f>IF(OR(NOT(ISNUMBER(C135)),C135=0),NA(),MOD(prime-C135,prime))</f>
        <v/>
      </c>
    </row>
    <row r="136">
      <c r="A136" t="n">
        <v>128</v>
      </c>
      <c r="B136">
        <f>MOD(A136^3+a*A136+b,prime)</f>
        <v/>
      </c>
      <c r="C136">
        <f>IF(MOD(B136,prime)=0,0,IF(SUMPRODUCT((MOD(ROW($A$1:$A$313)^2,prime)=MOD(B136,prime))*(ROW($A$1:$A$313)&lt;prime)*(MOD(ROW($A$1:$A$313),2)=1)*ROW($A$1:$A$313))=0,NA(),SUMPRODUCT((MOD(ROW($A$1:$A$313)^2,prime)=MOD(B136,prime))*(ROW($A$1:$A$313)&lt;prime)*(MOD(ROW($A$1:$A$313),2)=1)*ROW($A$1:$A$313))))</f>
        <v/>
      </c>
      <c r="D136">
        <f>IF(OR(NOT(ISNUMBER(C136)),C136=0),NA(),MOD(prime-C136,prime))</f>
        <v/>
      </c>
    </row>
    <row r="137">
      <c r="A137" t="n">
        <v>129</v>
      </c>
      <c r="B137">
        <f>MOD(A137^3+a*A137+b,prime)</f>
        <v/>
      </c>
      <c r="C137">
        <f>IF(MOD(B137,prime)=0,0,IF(SUMPRODUCT((MOD(ROW($A$1:$A$313)^2,prime)=MOD(B137,prime))*(ROW($A$1:$A$313)&lt;prime)*(MOD(ROW($A$1:$A$313),2)=1)*ROW($A$1:$A$313))=0,NA(),SUMPRODUCT((MOD(ROW($A$1:$A$313)^2,prime)=MOD(B137,prime))*(ROW($A$1:$A$313)&lt;prime)*(MOD(ROW($A$1:$A$313),2)=1)*ROW($A$1:$A$313))))</f>
        <v/>
      </c>
      <c r="D137">
        <f>IF(OR(NOT(ISNUMBER(C137)),C137=0),NA(),MOD(prime-C137,prime))</f>
        <v/>
      </c>
    </row>
    <row r="138">
      <c r="A138" t="n">
        <v>130</v>
      </c>
      <c r="B138">
        <f>MOD(A138^3+a*A138+b,prime)</f>
        <v/>
      </c>
      <c r="C138">
        <f>IF(MOD(B138,prime)=0,0,IF(SUMPRODUCT((MOD(ROW($A$1:$A$313)^2,prime)=MOD(B138,prime))*(ROW($A$1:$A$313)&lt;prime)*(MOD(ROW($A$1:$A$313),2)=1)*ROW($A$1:$A$313))=0,NA(),SUMPRODUCT((MOD(ROW($A$1:$A$313)^2,prime)=MOD(B138,prime))*(ROW($A$1:$A$313)&lt;prime)*(MOD(ROW($A$1:$A$313),2)=1)*ROW($A$1:$A$313))))</f>
        <v/>
      </c>
      <c r="D138">
        <f>IF(OR(NOT(ISNUMBER(C138)),C138=0),NA(),MOD(prime-C138,prime))</f>
        <v/>
      </c>
    </row>
    <row r="139">
      <c r="A139" t="n">
        <v>131</v>
      </c>
      <c r="B139">
        <f>MOD(A139^3+a*A139+b,prime)</f>
        <v/>
      </c>
      <c r="C139">
        <f>IF(MOD(B139,prime)=0,0,IF(SUMPRODUCT((MOD(ROW($A$1:$A$313)^2,prime)=MOD(B139,prime))*(ROW($A$1:$A$313)&lt;prime)*(MOD(ROW($A$1:$A$313),2)=1)*ROW($A$1:$A$313))=0,NA(),SUMPRODUCT((MOD(ROW($A$1:$A$313)^2,prime)=MOD(B139,prime))*(ROW($A$1:$A$313)&lt;prime)*(MOD(ROW($A$1:$A$313),2)=1)*ROW($A$1:$A$313))))</f>
        <v/>
      </c>
      <c r="D139">
        <f>IF(OR(NOT(ISNUMBER(C139)),C139=0),NA(),MOD(prime-C139,prime))</f>
        <v/>
      </c>
    </row>
    <row r="140">
      <c r="A140" t="n">
        <v>132</v>
      </c>
      <c r="B140">
        <f>MOD(A140^3+a*A140+b,prime)</f>
        <v/>
      </c>
      <c r="C140">
        <f>IF(MOD(B140,prime)=0,0,IF(SUMPRODUCT((MOD(ROW($A$1:$A$313)^2,prime)=MOD(B140,prime))*(ROW($A$1:$A$313)&lt;prime)*(MOD(ROW($A$1:$A$313),2)=1)*ROW($A$1:$A$313))=0,NA(),SUMPRODUCT((MOD(ROW($A$1:$A$313)^2,prime)=MOD(B140,prime))*(ROW($A$1:$A$313)&lt;prime)*(MOD(ROW($A$1:$A$313),2)=1)*ROW($A$1:$A$313))))</f>
        <v/>
      </c>
      <c r="D140">
        <f>IF(OR(NOT(ISNUMBER(C140)),C140=0),NA(),MOD(prime-C140,prime))</f>
        <v/>
      </c>
    </row>
    <row r="141">
      <c r="A141" t="n">
        <v>133</v>
      </c>
      <c r="B141">
        <f>MOD(A141^3+a*A141+b,prime)</f>
        <v/>
      </c>
      <c r="C141">
        <f>IF(MOD(B141,prime)=0,0,IF(SUMPRODUCT((MOD(ROW($A$1:$A$313)^2,prime)=MOD(B141,prime))*(ROW($A$1:$A$313)&lt;prime)*(MOD(ROW($A$1:$A$313),2)=1)*ROW($A$1:$A$313))=0,NA(),SUMPRODUCT((MOD(ROW($A$1:$A$313)^2,prime)=MOD(B141,prime))*(ROW($A$1:$A$313)&lt;prime)*(MOD(ROW($A$1:$A$313),2)=1)*ROW($A$1:$A$313))))</f>
        <v/>
      </c>
      <c r="D141">
        <f>IF(OR(NOT(ISNUMBER(C141)),C141=0),NA(),MOD(prime-C141,prime))</f>
        <v/>
      </c>
    </row>
    <row r="142">
      <c r="A142" t="n">
        <v>134</v>
      </c>
      <c r="B142">
        <f>MOD(A142^3+a*A142+b,prime)</f>
        <v/>
      </c>
      <c r="C142">
        <f>IF(MOD(B142,prime)=0,0,IF(SUMPRODUCT((MOD(ROW($A$1:$A$313)^2,prime)=MOD(B142,prime))*(ROW($A$1:$A$313)&lt;prime)*(MOD(ROW($A$1:$A$313),2)=1)*ROW($A$1:$A$313))=0,NA(),SUMPRODUCT((MOD(ROW($A$1:$A$313)^2,prime)=MOD(B142,prime))*(ROW($A$1:$A$313)&lt;prime)*(MOD(ROW($A$1:$A$313),2)=1)*ROW($A$1:$A$313))))</f>
        <v/>
      </c>
      <c r="D142">
        <f>IF(OR(NOT(ISNUMBER(C142)),C142=0),NA(),MOD(prime-C142,prime))</f>
        <v/>
      </c>
    </row>
    <row r="143">
      <c r="A143" t="n">
        <v>135</v>
      </c>
      <c r="B143">
        <f>MOD(A143^3+a*A143+b,prime)</f>
        <v/>
      </c>
      <c r="C143">
        <f>IF(MOD(B143,prime)=0,0,IF(SUMPRODUCT((MOD(ROW($A$1:$A$313)^2,prime)=MOD(B143,prime))*(ROW($A$1:$A$313)&lt;prime)*(MOD(ROW($A$1:$A$313),2)=1)*ROW($A$1:$A$313))=0,NA(),SUMPRODUCT((MOD(ROW($A$1:$A$313)^2,prime)=MOD(B143,prime))*(ROW($A$1:$A$313)&lt;prime)*(MOD(ROW($A$1:$A$313),2)=1)*ROW($A$1:$A$313))))</f>
        <v/>
      </c>
      <c r="D143">
        <f>IF(OR(NOT(ISNUMBER(C143)),C143=0),NA(),MOD(prime-C143,prime))</f>
        <v/>
      </c>
    </row>
    <row r="144">
      <c r="A144" t="n">
        <v>136</v>
      </c>
      <c r="B144">
        <f>MOD(A144^3+a*A144+b,prime)</f>
        <v/>
      </c>
      <c r="C144">
        <f>IF(MOD(B144,prime)=0,0,IF(SUMPRODUCT((MOD(ROW($A$1:$A$313)^2,prime)=MOD(B144,prime))*(ROW($A$1:$A$313)&lt;prime)*(MOD(ROW($A$1:$A$313),2)=1)*ROW($A$1:$A$313))=0,NA(),SUMPRODUCT((MOD(ROW($A$1:$A$313)^2,prime)=MOD(B144,prime))*(ROW($A$1:$A$313)&lt;prime)*(MOD(ROW($A$1:$A$313),2)=1)*ROW($A$1:$A$313))))</f>
        <v/>
      </c>
      <c r="D144">
        <f>IF(OR(NOT(ISNUMBER(C144)),C144=0),NA(),MOD(prime-C144,prime))</f>
        <v/>
      </c>
    </row>
    <row r="145">
      <c r="A145" t="n">
        <v>137</v>
      </c>
      <c r="B145">
        <f>MOD(A145^3+a*A145+b,prime)</f>
        <v/>
      </c>
      <c r="C145">
        <f>IF(MOD(B145,prime)=0,0,IF(SUMPRODUCT((MOD(ROW($A$1:$A$313)^2,prime)=MOD(B145,prime))*(ROW($A$1:$A$313)&lt;prime)*(MOD(ROW($A$1:$A$313),2)=1)*ROW($A$1:$A$313))=0,NA(),SUMPRODUCT((MOD(ROW($A$1:$A$313)^2,prime)=MOD(B145,prime))*(ROW($A$1:$A$313)&lt;prime)*(MOD(ROW($A$1:$A$313),2)=1)*ROW($A$1:$A$313))))</f>
        <v/>
      </c>
      <c r="D145">
        <f>IF(OR(NOT(ISNUMBER(C145)),C145=0),NA(),MOD(prime-C145,prime))</f>
        <v/>
      </c>
    </row>
    <row r="146">
      <c r="A146" t="n">
        <v>138</v>
      </c>
      <c r="B146">
        <f>MOD(A146^3+a*A146+b,prime)</f>
        <v/>
      </c>
      <c r="C146">
        <f>IF(MOD(B146,prime)=0,0,IF(SUMPRODUCT((MOD(ROW($A$1:$A$313)^2,prime)=MOD(B146,prime))*(ROW($A$1:$A$313)&lt;prime)*(MOD(ROW($A$1:$A$313),2)=1)*ROW($A$1:$A$313))=0,NA(),SUMPRODUCT((MOD(ROW($A$1:$A$313)^2,prime)=MOD(B146,prime))*(ROW($A$1:$A$313)&lt;prime)*(MOD(ROW($A$1:$A$313),2)=1)*ROW($A$1:$A$313))))</f>
        <v/>
      </c>
      <c r="D146">
        <f>IF(OR(NOT(ISNUMBER(C146)),C146=0),NA(),MOD(prime-C146,prime))</f>
        <v/>
      </c>
    </row>
    <row r="147">
      <c r="A147" t="n">
        <v>139</v>
      </c>
      <c r="B147">
        <f>MOD(A147^3+a*A147+b,prime)</f>
        <v/>
      </c>
      <c r="C147">
        <f>IF(MOD(B147,prime)=0,0,IF(SUMPRODUCT((MOD(ROW($A$1:$A$313)^2,prime)=MOD(B147,prime))*(ROW($A$1:$A$313)&lt;prime)*(MOD(ROW($A$1:$A$313),2)=1)*ROW($A$1:$A$313))=0,NA(),SUMPRODUCT((MOD(ROW($A$1:$A$313)^2,prime)=MOD(B147,prime))*(ROW($A$1:$A$313)&lt;prime)*(MOD(ROW($A$1:$A$313),2)=1)*ROW($A$1:$A$313))))</f>
        <v/>
      </c>
      <c r="D147">
        <f>IF(OR(NOT(ISNUMBER(C147)),C147=0),NA(),MOD(prime-C147,prime))</f>
        <v/>
      </c>
    </row>
    <row r="148">
      <c r="A148" t="n">
        <v>140</v>
      </c>
      <c r="B148">
        <f>MOD(A148^3+a*A148+b,prime)</f>
        <v/>
      </c>
      <c r="C148">
        <f>IF(MOD(B148,prime)=0,0,IF(SUMPRODUCT((MOD(ROW($A$1:$A$313)^2,prime)=MOD(B148,prime))*(ROW($A$1:$A$313)&lt;prime)*(MOD(ROW($A$1:$A$313),2)=1)*ROW($A$1:$A$313))=0,NA(),SUMPRODUCT((MOD(ROW($A$1:$A$313)^2,prime)=MOD(B148,prime))*(ROW($A$1:$A$313)&lt;prime)*(MOD(ROW($A$1:$A$313),2)=1)*ROW($A$1:$A$313))))</f>
        <v/>
      </c>
      <c r="D148">
        <f>IF(OR(NOT(ISNUMBER(C148)),C148=0),NA(),MOD(prime-C148,prime))</f>
        <v/>
      </c>
    </row>
    <row r="149">
      <c r="A149" t="n">
        <v>141</v>
      </c>
      <c r="B149">
        <f>MOD(A149^3+a*A149+b,prime)</f>
        <v/>
      </c>
      <c r="C149">
        <f>IF(MOD(B149,prime)=0,0,IF(SUMPRODUCT((MOD(ROW($A$1:$A$313)^2,prime)=MOD(B149,prime))*(ROW($A$1:$A$313)&lt;prime)*(MOD(ROW($A$1:$A$313),2)=1)*ROW($A$1:$A$313))=0,NA(),SUMPRODUCT((MOD(ROW($A$1:$A$313)^2,prime)=MOD(B149,prime))*(ROW($A$1:$A$313)&lt;prime)*(MOD(ROW($A$1:$A$313),2)=1)*ROW($A$1:$A$313))))</f>
        <v/>
      </c>
      <c r="D149">
        <f>IF(OR(NOT(ISNUMBER(C149)),C149=0),NA(),MOD(prime-C149,prime))</f>
        <v/>
      </c>
    </row>
    <row r="150">
      <c r="A150" t="n">
        <v>142</v>
      </c>
      <c r="B150">
        <f>MOD(A150^3+a*A150+b,prime)</f>
        <v/>
      </c>
      <c r="C150">
        <f>IF(MOD(B150,prime)=0,0,IF(SUMPRODUCT((MOD(ROW($A$1:$A$313)^2,prime)=MOD(B150,prime))*(ROW($A$1:$A$313)&lt;prime)*(MOD(ROW($A$1:$A$313),2)=1)*ROW($A$1:$A$313))=0,NA(),SUMPRODUCT((MOD(ROW($A$1:$A$313)^2,prime)=MOD(B150,prime))*(ROW($A$1:$A$313)&lt;prime)*(MOD(ROW($A$1:$A$313),2)=1)*ROW($A$1:$A$313))))</f>
        <v/>
      </c>
      <c r="D150">
        <f>IF(OR(NOT(ISNUMBER(C150)),C150=0),NA(),MOD(prime-C150,prime))</f>
        <v/>
      </c>
    </row>
    <row r="151">
      <c r="A151" t="n">
        <v>143</v>
      </c>
      <c r="B151">
        <f>MOD(A151^3+a*A151+b,prime)</f>
        <v/>
      </c>
      <c r="C151">
        <f>IF(MOD(B151,prime)=0,0,IF(SUMPRODUCT((MOD(ROW($A$1:$A$313)^2,prime)=MOD(B151,prime))*(ROW($A$1:$A$313)&lt;prime)*(MOD(ROW($A$1:$A$313),2)=1)*ROW($A$1:$A$313))=0,NA(),SUMPRODUCT((MOD(ROW($A$1:$A$313)^2,prime)=MOD(B151,prime))*(ROW($A$1:$A$313)&lt;prime)*(MOD(ROW($A$1:$A$313),2)=1)*ROW($A$1:$A$313))))</f>
        <v/>
      </c>
      <c r="D151">
        <f>IF(OR(NOT(ISNUMBER(C151)),C151=0),NA(),MOD(prime-C151,prime))</f>
        <v/>
      </c>
    </row>
    <row r="152">
      <c r="A152" t="n">
        <v>144</v>
      </c>
      <c r="B152">
        <f>MOD(A152^3+a*A152+b,prime)</f>
        <v/>
      </c>
      <c r="C152">
        <f>IF(MOD(B152,prime)=0,0,IF(SUMPRODUCT((MOD(ROW($A$1:$A$313)^2,prime)=MOD(B152,prime))*(ROW($A$1:$A$313)&lt;prime)*(MOD(ROW($A$1:$A$313),2)=1)*ROW($A$1:$A$313))=0,NA(),SUMPRODUCT((MOD(ROW($A$1:$A$313)^2,prime)=MOD(B152,prime))*(ROW($A$1:$A$313)&lt;prime)*(MOD(ROW($A$1:$A$313),2)=1)*ROW($A$1:$A$313))))</f>
        <v/>
      </c>
      <c r="D152">
        <f>IF(OR(NOT(ISNUMBER(C152)),C152=0),NA(),MOD(prime-C152,prime))</f>
        <v/>
      </c>
    </row>
    <row r="153">
      <c r="A153" t="n">
        <v>145</v>
      </c>
      <c r="B153">
        <f>MOD(A153^3+a*A153+b,prime)</f>
        <v/>
      </c>
      <c r="C153">
        <f>IF(MOD(B153,prime)=0,0,IF(SUMPRODUCT((MOD(ROW($A$1:$A$313)^2,prime)=MOD(B153,prime))*(ROW($A$1:$A$313)&lt;prime)*(MOD(ROW($A$1:$A$313),2)=1)*ROW($A$1:$A$313))=0,NA(),SUMPRODUCT((MOD(ROW($A$1:$A$313)^2,prime)=MOD(B153,prime))*(ROW($A$1:$A$313)&lt;prime)*(MOD(ROW($A$1:$A$313),2)=1)*ROW($A$1:$A$313))))</f>
        <v/>
      </c>
      <c r="D153">
        <f>IF(OR(NOT(ISNUMBER(C153)),C153=0),NA(),MOD(prime-C153,prime))</f>
        <v/>
      </c>
    </row>
    <row r="154">
      <c r="A154" t="n">
        <v>146</v>
      </c>
      <c r="B154">
        <f>MOD(A154^3+a*A154+b,prime)</f>
        <v/>
      </c>
      <c r="C154">
        <f>IF(MOD(B154,prime)=0,0,IF(SUMPRODUCT((MOD(ROW($A$1:$A$313)^2,prime)=MOD(B154,prime))*(ROW($A$1:$A$313)&lt;prime)*(MOD(ROW($A$1:$A$313),2)=1)*ROW($A$1:$A$313))=0,NA(),SUMPRODUCT((MOD(ROW($A$1:$A$313)^2,prime)=MOD(B154,prime))*(ROW($A$1:$A$313)&lt;prime)*(MOD(ROW($A$1:$A$313),2)=1)*ROW($A$1:$A$313))))</f>
        <v/>
      </c>
      <c r="D154">
        <f>IF(OR(NOT(ISNUMBER(C154)),C154=0),NA(),MOD(prime-C154,prime))</f>
        <v/>
      </c>
    </row>
    <row r="155">
      <c r="A155" t="n">
        <v>147</v>
      </c>
      <c r="B155">
        <f>MOD(A155^3+a*A155+b,prime)</f>
        <v/>
      </c>
      <c r="C155">
        <f>IF(MOD(B155,prime)=0,0,IF(SUMPRODUCT((MOD(ROW($A$1:$A$313)^2,prime)=MOD(B155,prime))*(ROW($A$1:$A$313)&lt;prime)*(MOD(ROW($A$1:$A$313),2)=1)*ROW($A$1:$A$313))=0,NA(),SUMPRODUCT((MOD(ROW($A$1:$A$313)^2,prime)=MOD(B155,prime))*(ROW($A$1:$A$313)&lt;prime)*(MOD(ROW($A$1:$A$313),2)=1)*ROW($A$1:$A$313))))</f>
        <v/>
      </c>
      <c r="D155">
        <f>IF(OR(NOT(ISNUMBER(C155)),C155=0),NA(),MOD(prime-C155,prime))</f>
        <v/>
      </c>
    </row>
    <row r="156">
      <c r="A156" t="n">
        <v>148</v>
      </c>
      <c r="B156">
        <f>MOD(A156^3+a*A156+b,prime)</f>
        <v/>
      </c>
      <c r="C156">
        <f>IF(MOD(B156,prime)=0,0,IF(SUMPRODUCT((MOD(ROW($A$1:$A$313)^2,prime)=MOD(B156,prime))*(ROW($A$1:$A$313)&lt;prime)*(MOD(ROW($A$1:$A$313),2)=1)*ROW($A$1:$A$313))=0,NA(),SUMPRODUCT((MOD(ROW($A$1:$A$313)^2,prime)=MOD(B156,prime))*(ROW($A$1:$A$313)&lt;prime)*(MOD(ROW($A$1:$A$313),2)=1)*ROW($A$1:$A$313))))</f>
        <v/>
      </c>
      <c r="D156">
        <f>IF(OR(NOT(ISNUMBER(C156)),C156=0),NA(),MOD(prime-C156,prime))</f>
        <v/>
      </c>
    </row>
    <row r="157">
      <c r="A157" t="n">
        <v>149</v>
      </c>
      <c r="B157">
        <f>MOD(A157^3+a*A157+b,prime)</f>
        <v/>
      </c>
      <c r="C157">
        <f>IF(MOD(B157,prime)=0,0,IF(SUMPRODUCT((MOD(ROW($A$1:$A$313)^2,prime)=MOD(B157,prime))*(ROW($A$1:$A$313)&lt;prime)*(MOD(ROW($A$1:$A$313),2)=1)*ROW($A$1:$A$313))=0,NA(),SUMPRODUCT((MOD(ROW($A$1:$A$313)^2,prime)=MOD(B157,prime))*(ROW($A$1:$A$313)&lt;prime)*(MOD(ROW($A$1:$A$313),2)=1)*ROW($A$1:$A$313))))</f>
        <v/>
      </c>
      <c r="D157">
        <f>IF(OR(NOT(ISNUMBER(C157)),C157=0),NA(),MOD(prime-C157,prime))</f>
        <v/>
      </c>
    </row>
    <row r="158">
      <c r="A158" t="n">
        <v>150</v>
      </c>
      <c r="B158">
        <f>MOD(A158^3+a*A158+b,prime)</f>
        <v/>
      </c>
      <c r="C158">
        <f>IF(MOD(B158,prime)=0,0,IF(SUMPRODUCT((MOD(ROW($A$1:$A$313)^2,prime)=MOD(B158,prime))*(ROW($A$1:$A$313)&lt;prime)*(MOD(ROW($A$1:$A$313),2)=1)*ROW($A$1:$A$313))=0,NA(),SUMPRODUCT((MOD(ROW($A$1:$A$313)^2,prime)=MOD(B158,prime))*(ROW($A$1:$A$313)&lt;prime)*(MOD(ROW($A$1:$A$313),2)=1)*ROW($A$1:$A$313))))</f>
        <v/>
      </c>
      <c r="D158">
        <f>IF(OR(NOT(ISNUMBER(C158)),C158=0),NA(),MOD(prime-C158,prime))</f>
        <v/>
      </c>
    </row>
    <row r="159">
      <c r="A159" t="n">
        <v>151</v>
      </c>
      <c r="B159">
        <f>MOD(A159^3+a*A159+b,prime)</f>
        <v/>
      </c>
      <c r="C159">
        <f>IF(MOD(B159,prime)=0,0,IF(SUMPRODUCT((MOD(ROW($A$1:$A$313)^2,prime)=MOD(B159,prime))*(ROW($A$1:$A$313)&lt;prime)*(MOD(ROW($A$1:$A$313),2)=1)*ROW($A$1:$A$313))=0,NA(),SUMPRODUCT((MOD(ROW($A$1:$A$313)^2,prime)=MOD(B159,prime))*(ROW($A$1:$A$313)&lt;prime)*(MOD(ROW($A$1:$A$313),2)=1)*ROW($A$1:$A$313))))</f>
        <v/>
      </c>
      <c r="D159">
        <f>IF(OR(NOT(ISNUMBER(C159)),C159=0),NA(),MOD(prime-C159,prime))</f>
        <v/>
      </c>
    </row>
    <row r="160">
      <c r="A160" t="n">
        <v>152</v>
      </c>
      <c r="B160">
        <f>MOD(A160^3+a*A160+b,prime)</f>
        <v/>
      </c>
      <c r="C160">
        <f>IF(MOD(B160,prime)=0,0,IF(SUMPRODUCT((MOD(ROW($A$1:$A$313)^2,prime)=MOD(B160,prime))*(ROW($A$1:$A$313)&lt;prime)*(MOD(ROW($A$1:$A$313),2)=1)*ROW($A$1:$A$313))=0,NA(),SUMPRODUCT((MOD(ROW($A$1:$A$313)^2,prime)=MOD(B160,prime))*(ROW($A$1:$A$313)&lt;prime)*(MOD(ROW($A$1:$A$313),2)=1)*ROW($A$1:$A$313))))</f>
        <v/>
      </c>
      <c r="D160">
        <f>IF(OR(NOT(ISNUMBER(C160)),C160=0),NA(),MOD(prime-C160,prime))</f>
        <v/>
      </c>
    </row>
    <row r="161">
      <c r="A161" t="n">
        <v>153</v>
      </c>
      <c r="B161">
        <f>MOD(A161^3+a*A161+b,prime)</f>
        <v/>
      </c>
      <c r="C161">
        <f>IF(MOD(B161,prime)=0,0,IF(SUMPRODUCT((MOD(ROW($A$1:$A$313)^2,prime)=MOD(B161,prime))*(ROW($A$1:$A$313)&lt;prime)*(MOD(ROW($A$1:$A$313),2)=1)*ROW($A$1:$A$313))=0,NA(),SUMPRODUCT((MOD(ROW($A$1:$A$313)^2,prime)=MOD(B161,prime))*(ROW($A$1:$A$313)&lt;prime)*(MOD(ROW($A$1:$A$313),2)=1)*ROW($A$1:$A$313))))</f>
        <v/>
      </c>
      <c r="D161">
        <f>IF(OR(NOT(ISNUMBER(C161)),C161=0),NA(),MOD(prime-C161,prime))</f>
        <v/>
      </c>
    </row>
    <row r="162">
      <c r="A162" t="n">
        <v>154</v>
      </c>
      <c r="B162">
        <f>MOD(A162^3+a*A162+b,prime)</f>
        <v/>
      </c>
      <c r="C162">
        <f>IF(MOD(B162,prime)=0,0,IF(SUMPRODUCT((MOD(ROW($A$1:$A$313)^2,prime)=MOD(B162,prime))*(ROW($A$1:$A$313)&lt;prime)*(MOD(ROW($A$1:$A$313),2)=1)*ROW($A$1:$A$313))=0,NA(),SUMPRODUCT((MOD(ROW($A$1:$A$313)^2,prime)=MOD(B162,prime))*(ROW($A$1:$A$313)&lt;prime)*(MOD(ROW($A$1:$A$313),2)=1)*ROW($A$1:$A$313))))</f>
        <v/>
      </c>
      <c r="D162">
        <f>IF(OR(NOT(ISNUMBER(C162)),C162=0),NA(),MOD(prime-C162,prime))</f>
        <v/>
      </c>
    </row>
    <row r="163">
      <c r="A163" t="n">
        <v>155</v>
      </c>
      <c r="B163">
        <f>MOD(A163^3+a*A163+b,prime)</f>
        <v/>
      </c>
      <c r="C163">
        <f>IF(MOD(B163,prime)=0,0,IF(SUMPRODUCT((MOD(ROW($A$1:$A$313)^2,prime)=MOD(B163,prime))*(ROW($A$1:$A$313)&lt;prime)*(MOD(ROW($A$1:$A$313),2)=1)*ROW($A$1:$A$313))=0,NA(),SUMPRODUCT((MOD(ROW($A$1:$A$313)^2,prime)=MOD(B163,prime))*(ROW($A$1:$A$313)&lt;prime)*(MOD(ROW($A$1:$A$313),2)=1)*ROW($A$1:$A$313))))</f>
        <v/>
      </c>
      <c r="D163">
        <f>IF(OR(NOT(ISNUMBER(C163)),C163=0),NA(),MOD(prime-C163,prime))</f>
        <v/>
      </c>
    </row>
    <row r="164">
      <c r="A164" t="n">
        <v>156</v>
      </c>
      <c r="B164">
        <f>MOD(A164^3+a*A164+b,prime)</f>
        <v/>
      </c>
      <c r="C164">
        <f>IF(MOD(B164,prime)=0,0,IF(SUMPRODUCT((MOD(ROW($A$1:$A$313)^2,prime)=MOD(B164,prime))*(ROW($A$1:$A$313)&lt;prime)*(MOD(ROW($A$1:$A$313),2)=1)*ROW($A$1:$A$313))=0,NA(),SUMPRODUCT((MOD(ROW($A$1:$A$313)^2,prime)=MOD(B164,prime))*(ROW($A$1:$A$313)&lt;prime)*(MOD(ROW($A$1:$A$313),2)=1)*ROW($A$1:$A$313))))</f>
        <v/>
      </c>
      <c r="D164">
        <f>IF(OR(NOT(ISNUMBER(C164)),C164=0),NA(),MOD(prime-C164,prime))</f>
        <v/>
      </c>
    </row>
    <row r="165">
      <c r="A165" t="n">
        <v>157</v>
      </c>
      <c r="B165">
        <f>MOD(A165^3+a*A165+b,prime)</f>
        <v/>
      </c>
      <c r="C165">
        <f>IF(MOD(B165,prime)=0,0,IF(SUMPRODUCT((MOD(ROW($A$1:$A$313)^2,prime)=MOD(B165,prime))*(ROW($A$1:$A$313)&lt;prime)*(MOD(ROW($A$1:$A$313),2)=1)*ROW($A$1:$A$313))=0,NA(),SUMPRODUCT((MOD(ROW($A$1:$A$313)^2,prime)=MOD(B165,prime))*(ROW($A$1:$A$313)&lt;prime)*(MOD(ROW($A$1:$A$313),2)=1)*ROW($A$1:$A$313))))</f>
        <v/>
      </c>
      <c r="D165">
        <f>IF(OR(NOT(ISNUMBER(C165)),C165=0),NA(),MOD(prime-C165,prime))</f>
        <v/>
      </c>
    </row>
    <row r="166">
      <c r="A166" t="n">
        <v>158</v>
      </c>
      <c r="B166">
        <f>MOD(A166^3+a*A166+b,prime)</f>
        <v/>
      </c>
      <c r="C166">
        <f>IF(MOD(B166,prime)=0,0,IF(SUMPRODUCT((MOD(ROW($A$1:$A$313)^2,prime)=MOD(B166,prime))*(ROW($A$1:$A$313)&lt;prime)*(MOD(ROW($A$1:$A$313),2)=1)*ROW($A$1:$A$313))=0,NA(),SUMPRODUCT((MOD(ROW($A$1:$A$313)^2,prime)=MOD(B166,prime))*(ROW($A$1:$A$313)&lt;prime)*(MOD(ROW($A$1:$A$313),2)=1)*ROW($A$1:$A$313))))</f>
        <v/>
      </c>
      <c r="D166">
        <f>IF(OR(NOT(ISNUMBER(C166)),C166=0),NA(),MOD(prime-C166,prime))</f>
        <v/>
      </c>
    </row>
    <row r="167">
      <c r="A167" t="n">
        <v>159</v>
      </c>
      <c r="B167">
        <f>MOD(A167^3+a*A167+b,prime)</f>
        <v/>
      </c>
      <c r="C167">
        <f>IF(MOD(B167,prime)=0,0,IF(SUMPRODUCT((MOD(ROW($A$1:$A$313)^2,prime)=MOD(B167,prime))*(ROW($A$1:$A$313)&lt;prime)*(MOD(ROW($A$1:$A$313),2)=1)*ROW($A$1:$A$313))=0,NA(),SUMPRODUCT((MOD(ROW($A$1:$A$313)^2,prime)=MOD(B167,prime))*(ROW($A$1:$A$313)&lt;prime)*(MOD(ROW($A$1:$A$313),2)=1)*ROW($A$1:$A$313))))</f>
        <v/>
      </c>
      <c r="D167">
        <f>IF(OR(NOT(ISNUMBER(C167)),C167=0),NA(),MOD(prime-C167,prime))</f>
        <v/>
      </c>
    </row>
    <row r="168">
      <c r="A168" t="n">
        <v>160</v>
      </c>
      <c r="B168">
        <f>MOD(A168^3+a*A168+b,prime)</f>
        <v/>
      </c>
      <c r="C168">
        <f>IF(MOD(B168,prime)=0,0,IF(SUMPRODUCT((MOD(ROW($A$1:$A$313)^2,prime)=MOD(B168,prime))*(ROW($A$1:$A$313)&lt;prime)*(MOD(ROW($A$1:$A$313),2)=1)*ROW($A$1:$A$313))=0,NA(),SUMPRODUCT((MOD(ROW($A$1:$A$313)^2,prime)=MOD(B168,prime))*(ROW($A$1:$A$313)&lt;prime)*(MOD(ROW($A$1:$A$313),2)=1)*ROW($A$1:$A$313))))</f>
        <v/>
      </c>
      <c r="D168">
        <f>IF(OR(NOT(ISNUMBER(C168)),C168=0),NA(),MOD(prime-C168,prime))</f>
        <v/>
      </c>
    </row>
    <row r="169">
      <c r="A169" t="n">
        <v>161</v>
      </c>
      <c r="B169">
        <f>MOD(A169^3+a*A169+b,prime)</f>
        <v/>
      </c>
      <c r="C169">
        <f>IF(MOD(B169,prime)=0,0,IF(SUMPRODUCT((MOD(ROW($A$1:$A$313)^2,prime)=MOD(B169,prime))*(ROW($A$1:$A$313)&lt;prime)*(MOD(ROW($A$1:$A$313),2)=1)*ROW($A$1:$A$313))=0,NA(),SUMPRODUCT((MOD(ROW($A$1:$A$313)^2,prime)=MOD(B169,prime))*(ROW($A$1:$A$313)&lt;prime)*(MOD(ROW($A$1:$A$313),2)=1)*ROW($A$1:$A$313))))</f>
        <v/>
      </c>
      <c r="D169">
        <f>IF(OR(NOT(ISNUMBER(C169)),C169=0),NA(),MOD(prime-C169,prime))</f>
        <v/>
      </c>
    </row>
    <row r="170">
      <c r="A170" t="n">
        <v>162</v>
      </c>
      <c r="B170">
        <f>MOD(A170^3+a*A170+b,prime)</f>
        <v/>
      </c>
      <c r="C170">
        <f>IF(MOD(B170,prime)=0,0,IF(SUMPRODUCT((MOD(ROW($A$1:$A$313)^2,prime)=MOD(B170,prime))*(ROW($A$1:$A$313)&lt;prime)*(MOD(ROW($A$1:$A$313),2)=1)*ROW($A$1:$A$313))=0,NA(),SUMPRODUCT((MOD(ROW($A$1:$A$313)^2,prime)=MOD(B170,prime))*(ROW($A$1:$A$313)&lt;prime)*(MOD(ROW($A$1:$A$313),2)=1)*ROW($A$1:$A$313))))</f>
        <v/>
      </c>
      <c r="D170">
        <f>IF(OR(NOT(ISNUMBER(C170)),C170=0),NA(),MOD(prime-C170,prime))</f>
        <v/>
      </c>
    </row>
    <row r="171">
      <c r="A171" t="n">
        <v>163</v>
      </c>
      <c r="B171">
        <f>MOD(A171^3+a*A171+b,prime)</f>
        <v/>
      </c>
      <c r="C171">
        <f>IF(MOD(B171,prime)=0,0,IF(SUMPRODUCT((MOD(ROW($A$1:$A$313)^2,prime)=MOD(B171,prime))*(ROW($A$1:$A$313)&lt;prime)*(MOD(ROW($A$1:$A$313),2)=1)*ROW($A$1:$A$313))=0,NA(),SUMPRODUCT((MOD(ROW($A$1:$A$313)^2,prime)=MOD(B171,prime))*(ROW($A$1:$A$313)&lt;prime)*(MOD(ROW($A$1:$A$313),2)=1)*ROW($A$1:$A$313))))</f>
        <v/>
      </c>
      <c r="D171">
        <f>IF(OR(NOT(ISNUMBER(C171)),C171=0),NA(),MOD(prime-C171,prime))</f>
        <v/>
      </c>
    </row>
    <row r="172">
      <c r="A172" t="n">
        <v>164</v>
      </c>
      <c r="B172">
        <f>MOD(A172^3+a*A172+b,prime)</f>
        <v/>
      </c>
      <c r="C172">
        <f>IF(MOD(B172,prime)=0,0,IF(SUMPRODUCT((MOD(ROW($A$1:$A$313)^2,prime)=MOD(B172,prime))*(ROW($A$1:$A$313)&lt;prime)*(MOD(ROW($A$1:$A$313),2)=1)*ROW($A$1:$A$313))=0,NA(),SUMPRODUCT((MOD(ROW($A$1:$A$313)^2,prime)=MOD(B172,prime))*(ROW($A$1:$A$313)&lt;prime)*(MOD(ROW($A$1:$A$313),2)=1)*ROW($A$1:$A$313))))</f>
        <v/>
      </c>
      <c r="D172">
        <f>IF(OR(NOT(ISNUMBER(C172)),C172=0),NA(),MOD(prime-C172,prime))</f>
        <v/>
      </c>
    </row>
    <row r="173">
      <c r="A173" t="n">
        <v>165</v>
      </c>
      <c r="B173">
        <f>MOD(A173^3+a*A173+b,prime)</f>
        <v/>
      </c>
      <c r="C173">
        <f>IF(MOD(B173,prime)=0,0,IF(SUMPRODUCT((MOD(ROW($A$1:$A$313)^2,prime)=MOD(B173,prime))*(ROW($A$1:$A$313)&lt;prime)*(MOD(ROW($A$1:$A$313),2)=1)*ROW($A$1:$A$313))=0,NA(),SUMPRODUCT((MOD(ROW($A$1:$A$313)^2,prime)=MOD(B173,prime))*(ROW($A$1:$A$313)&lt;prime)*(MOD(ROW($A$1:$A$313),2)=1)*ROW($A$1:$A$313))))</f>
        <v/>
      </c>
      <c r="D173">
        <f>IF(OR(NOT(ISNUMBER(C173)),C173=0),NA(),MOD(prime-C173,prime))</f>
        <v/>
      </c>
    </row>
    <row r="174">
      <c r="A174" t="n">
        <v>166</v>
      </c>
      <c r="B174">
        <f>MOD(A174^3+a*A174+b,prime)</f>
        <v/>
      </c>
      <c r="C174">
        <f>IF(MOD(B174,prime)=0,0,IF(SUMPRODUCT((MOD(ROW($A$1:$A$313)^2,prime)=MOD(B174,prime))*(ROW($A$1:$A$313)&lt;prime)*(MOD(ROW($A$1:$A$313),2)=1)*ROW($A$1:$A$313))=0,NA(),SUMPRODUCT((MOD(ROW($A$1:$A$313)^2,prime)=MOD(B174,prime))*(ROW($A$1:$A$313)&lt;prime)*(MOD(ROW($A$1:$A$313),2)=1)*ROW($A$1:$A$313))))</f>
        <v/>
      </c>
      <c r="D174">
        <f>IF(OR(NOT(ISNUMBER(C174)),C174=0),NA(),MOD(prime-C174,prime))</f>
        <v/>
      </c>
    </row>
    <row r="175">
      <c r="A175" t="n">
        <v>167</v>
      </c>
      <c r="B175">
        <f>MOD(A175^3+a*A175+b,prime)</f>
        <v/>
      </c>
      <c r="C175">
        <f>IF(MOD(B175,prime)=0,0,IF(SUMPRODUCT((MOD(ROW($A$1:$A$313)^2,prime)=MOD(B175,prime))*(ROW($A$1:$A$313)&lt;prime)*(MOD(ROW($A$1:$A$313),2)=1)*ROW($A$1:$A$313))=0,NA(),SUMPRODUCT((MOD(ROW($A$1:$A$313)^2,prime)=MOD(B175,prime))*(ROW($A$1:$A$313)&lt;prime)*(MOD(ROW($A$1:$A$313),2)=1)*ROW($A$1:$A$313))))</f>
        <v/>
      </c>
      <c r="D175">
        <f>IF(OR(NOT(ISNUMBER(C175)),C175=0),NA(),MOD(prime-C175,prime))</f>
        <v/>
      </c>
    </row>
    <row r="176">
      <c r="A176" t="n">
        <v>168</v>
      </c>
      <c r="B176">
        <f>MOD(A176^3+a*A176+b,prime)</f>
        <v/>
      </c>
      <c r="C176">
        <f>IF(MOD(B176,prime)=0,0,IF(SUMPRODUCT((MOD(ROW($A$1:$A$313)^2,prime)=MOD(B176,prime))*(ROW($A$1:$A$313)&lt;prime)*(MOD(ROW($A$1:$A$313),2)=1)*ROW($A$1:$A$313))=0,NA(),SUMPRODUCT((MOD(ROW($A$1:$A$313)^2,prime)=MOD(B176,prime))*(ROW($A$1:$A$313)&lt;prime)*(MOD(ROW($A$1:$A$313),2)=1)*ROW($A$1:$A$313))))</f>
        <v/>
      </c>
      <c r="D176">
        <f>IF(OR(NOT(ISNUMBER(C176)),C176=0),NA(),MOD(prime-C176,prime))</f>
        <v/>
      </c>
    </row>
    <row r="177">
      <c r="A177" t="n">
        <v>169</v>
      </c>
      <c r="B177">
        <f>MOD(A177^3+a*A177+b,prime)</f>
        <v/>
      </c>
      <c r="C177">
        <f>IF(MOD(B177,prime)=0,0,IF(SUMPRODUCT((MOD(ROW($A$1:$A$313)^2,prime)=MOD(B177,prime))*(ROW($A$1:$A$313)&lt;prime)*(MOD(ROW($A$1:$A$313),2)=1)*ROW($A$1:$A$313))=0,NA(),SUMPRODUCT((MOD(ROW($A$1:$A$313)^2,prime)=MOD(B177,prime))*(ROW($A$1:$A$313)&lt;prime)*(MOD(ROW($A$1:$A$313),2)=1)*ROW($A$1:$A$313))))</f>
        <v/>
      </c>
      <c r="D177">
        <f>IF(OR(NOT(ISNUMBER(C177)),C177=0),NA(),MOD(prime-C177,prime))</f>
        <v/>
      </c>
    </row>
    <row r="178">
      <c r="A178" t="n">
        <v>170</v>
      </c>
      <c r="B178">
        <f>MOD(A178^3+a*A178+b,prime)</f>
        <v/>
      </c>
      <c r="C178">
        <f>IF(MOD(B178,prime)=0,0,IF(SUMPRODUCT((MOD(ROW($A$1:$A$313)^2,prime)=MOD(B178,prime))*(ROW($A$1:$A$313)&lt;prime)*(MOD(ROW($A$1:$A$313),2)=1)*ROW($A$1:$A$313))=0,NA(),SUMPRODUCT((MOD(ROW($A$1:$A$313)^2,prime)=MOD(B178,prime))*(ROW($A$1:$A$313)&lt;prime)*(MOD(ROW($A$1:$A$313),2)=1)*ROW($A$1:$A$313))))</f>
        <v/>
      </c>
      <c r="D178">
        <f>IF(OR(NOT(ISNUMBER(C178)),C178=0),NA(),MOD(prime-C178,prime))</f>
        <v/>
      </c>
    </row>
    <row r="179">
      <c r="A179" t="n">
        <v>171</v>
      </c>
      <c r="B179">
        <f>MOD(A179^3+a*A179+b,prime)</f>
        <v/>
      </c>
      <c r="C179">
        <f>IF(MOD(B179,prime)=0,0,IF(SUMPRODUCT((MOD(ROW($A$1:$A$313)^2,prime)=MOD(B179,prime))*(ROW($A$1:$A$313)&lt;prime)*(MOD(ROW($A$1:$A$313),2)=1)*ROW($A$1:$A$313))=0,NA(),SUMPRODUCT((MOD(ROW($A$1:$A$313)^2,prime)=MOD(B179,prime))*(ROW($A$1:$A$313)&lt;prime)*(MOD(ROW($A$1:$A$313),2)=1)*ROW($A$1:$A$313))))</f>
        <v/>
      </c>
      <c r="D179">
        <f>IF(OR(NOT(ISNUMBER(C179)),C179=0),NA(),MOD(prime-C179,prime))</f>
        <v/>
      </c>
    </row>
    <row r="180">
      <c r="A180" t="n">
        <v>172</v>
      </c>
      <c r="B180">
        <f>MOD(A180^3+a*A180+b,prime)</f>
        <v/>
      </c>
      <c r="C180">
        <f>IF(MOD(B180,prime)=0,0,IF(SUMPRODUCT((MOD(ROW($A$1:$A$313)^2,prime)=MOD(B180,prime))*(ROW($A$1:$A$313)&lt;prime)*(MOD(ROW($A$1:$A$313),2)=1)*ROW($A$1:$A$313))=0,NA(),SUMPRODUCT((MOD(ROW($A$1:$A$313)^2,prime)=MOD(B180,prime))*(ROW($A$1:$A$313)&lt;prime)*(MOD(ROW($A$1:$A$313),2)=1)*ROW($A$1:$A$313))))</f>
        <v/>
      </c>
      <c r="D180">
        <f>IF(OR(NOT(ISNUMBER(C180)),C180=0),NA(),MOD(prime-C180,prime))</f>
        <v/>
      </c>
    </row>
    <row r="181">
      <c r="A181" t="n">
        <v>173</v>
      </c>
      <c r="B181">
        <f>MOD(A181^3+a*A181+b,prime)</f>
        <v/>
      </c>
      <c r="C181">
        <f>IF(MOD(B181,prime)=0,0,IF(SUMPRODUCT((MOD(ROW($A$1:$A$313)^2,prime)=MOD(B181,prime))*(ROW($A$1:$A$313)&lt;prime)*(MOD(ROW($A$1:$A$313),2)=1)*ROW($A$1:$A$313))=0,NA(),SUMPRODUCT((MOD(ROW($A$1:$A$313)^2,prime)=MOD(B181,prime))*(ROW($A$1:$A$313)&lt;prime)*(MOD(ROW($A$1:$A$313),2)=1)*ROW($A$1:$A$313))))</f>
        <v/>
      </c>
      <c r="D181">
        <f>IF(OR(NOT(ISNUMBER(C181)),C181=0),NA(),MOD(prime-C181,prime))</f>
        <v/>
      </c>
    </row>
    <row r="182">
      <c r="A182" t="n">
        <v>174</v>
      </c>
      <c r="B182">
        <f>MOD(A182^3+a*A182+b,prime)</f>
        <v/>
      </c>
      <c r="C182">
        <f>IF(MOD(B182,prime)=0,0,IF(SUMPRODUCT((MOD(ROW($A$1:$A$313)^2,prime)=MOD(B182,prime))*(ROW($A$1:$A$313)&lt;prime)*(MOD(ROW($A$1:$A$313),2)=1)*ROW($A$1:$A$313))=0,NA(),SUMPRODUCT((MOD(ROW($A$1:$A$313)^2,prime)=MOD(B182,prime))*(ROW($A$1:$A$313)&lt;prime)*(MOD(ROW($A$1:$A$313),2)=1)*ROW($A$1:$A$313))))</f>
        <v/>
      </c>
      <c r="D182">
        <f>IF(OR(NOT(ISNUMBER(C182)),C182=0),NA(),MOD(prime-C182,prime))</f>
        <v/>
      </c>
    </row>
    <row r="183">
      <c r="A183" t="n">
        <v>175</v>
      </c>
      <c r="B183">
        <f>MOD(A183^3+a*A183+b,prime)</f>
        <v/>
      </c>
      <c r="C183">
        <f>IF(MOD(B183,prime)=0,0,IF(SUMPRODUCT((MOD(ROW($A$1:$A$313)^2,prime)=MOD(B183,prime))*(ROW($A$1:$A$313)&lt;prime)*(MOD(ROW($A$1:$A$313),2)=1)*ROW($A$1:$A$313))=0,NA(),SUMPRODUCT((MOD(ROW($A$1:$A$313)^2,prime)=MOD(B183,prime))*(ROW($A$1:$A$313)&lt;prime)*(MOD(ROW($A$1:$A$313),2)=1)*ROW($A$1:$A$313))))</f>
        <v/>
      </c>
      <c r="D183">
        <f>IF(OR(NOT(ISNUMBER(C183)),C183=0),NA(),MOD(prime-C183,prime))</f>
        <v/>
      </c>
    </row>
    <row r="184">
      <c r="A184" t="n">
        <v>176</v>
      </c>
      <c r="B184">
        <f>MOD(A184^3+a*A184+b,prime)</f>
        <v/>
      </c>
      <c r="C184">
        <f>IF(MOD(B184,prime)=0,0,IF(SUMPRODUCT((MOD(ROW($A$1:$A$313)^2,prime)=MOD(B184,prime))*(ROW($A$1:$A$313)&lt;prime)*(MOD(ROW($A$1:$A$313),2)=1)*ROW($A$1:$A$313))=0,NA(),SUMPRODUCT((MOD(ROW($A$1:$A$313)^2,prime)=MOD(B184,prime))*(ROW($A$1:$A$313)&lt;prime)*(MOD(ROW($A$1:$A$313),2)=1)*ROW($A$1:$A$313))))</f>
        <v/>
      </c>
      <c r="D184">
        <f>IF(OR(NOT(ISNUMBER(C184)),C184=0),NA(),MOD(prime-C184,prime))</f>
        <v/>
      </c>
    </row>
    <row r="185">
      <c r="A185" t="n">
        <v>177</v>
      </c>
      <c r="B185">
        <f>MOD(A185^3+a*A185+b,prime)</f>
        <v/>
      </c>
      <c r="C185">
        <f>IF(MOD(B185,prime)=0,0,IF(SUMPRODUCT((MOD(ROW($A$1:$A$313)^2,prime)=MOD(B185,prime))*(ROW($A$1:$A$313)&lt;prime)*(MOD(ROW($A$1:$A$313),2)=1)*ROW($A$1:$A$313))=0,NA(),SUMPRODUCT((MOD(ROW($A$1:$A$313)^2,prime)=MOD(B185,prime))*(ROW($A$1:$A$313)&lt;prime)*(MOD(ROW($A$1:$A$313),2)=1)*ROW($A$1:$A$313))))</f>
        <v/>
      </c>
      <c r="D185">
        <f>IF(OR(NOT(ISNUMBER(C185)),C185=0),NA(),MOD(prime-C185,prime))</f>
        <v/>
      </c>
    </row>
    <row r="186">
      <c r="A186" t="n">
        <v>178</v>
      </c>
      <c r="B186">
        <f>MOD(A186^3+a*A186+b,prime)</f>
        <v/>
      </c>
      <c r="C186">
        <f>IF(MOD(B186,prime)=0,0,IF(SUMPRODUCT((MOD(ROW($A$1:$A$313)^2,prime)=MOD(B186,prime))*(ROW($A$1:$A$313)&lt;prime)*(MOD(ROW($A$1:$A$313),2)=1)*ROW($A$1:$A$313))=0,NA(),SUMPRODUCT((MOD(ROW($A$1:$A$313)^2,prime)=MOD(B186,prime))*(ROW($A$1:$A$313)&lt;prime)*(MOD(ROW($A$1:$A$313),2)=1)*ROW($A$1:$A$313))))</f>
        <v/>
      </c>
      <c r="D186">
        <f>IF(OR(NOT(ISNUMBER(C186)),C186=0),NA(),MOD(prime-C186,prime))</f>
        <v/>
      </c>
    </row>
    <row r="187">
      <c r="A187" t="n">
        <v>179</v>
      </c>
      <c r="B187">
        <f>MOD(A187^3+a*A187+b,prime)</f>
        <v/>
      </c>
      <c r="C187">
        <f>IF(MOD(B187,prime)=0,0,IF(SUMPRODUCT((MOD(ROW($A$1:$A$313)^2,prime)=MOD(B187,prime))*(ROW($A$1:$A$313)&lt;prime)*(MOD(ROW($A$1:$A$313),2)=1)*ROW($A$1:$A$313))=0,NA(),SUMPRODUCT((MOD(ROW($A$1:$A$313)^2,prime)=MOD(B187,prime))*(ROW($A$1:$A$313)&lt;prime)*(MOD(ROW($A$1:$A$313),2)=1)*ROW($A$1:$A$313))))</f>
        <v/>
      </c>
      <c r="D187">
        <f>IF(OR(NOT(ISNUMBER(C187)),C187=0),NA(),MOD(prime-C187,prime))</f>
        <v/>
      </c>
    </row>
    <row r="188">
      <c r="A188" t="n">
        <v>180</v>
      </c>
      <c r="B188">
        <f>MOD(A188^3+a*A188+b,prime)</f>
        <v/>
      </c>
      <c r="C188">
        <f>IF(MOD(B188,prime)=0,0,IF(SUMPRODUCT((MOD(ROW($A$1:$A$313)^2,prime)=MOD(B188,prime))*(ROW($A$1:$A$313)&lt;prime)*(MOD(ROW($A$1:$A$313),2)=1)*ROW($A$1:$A$313))=0,NA(),SUMPRODUCT((MOD(ROW($A$1:$A$313)^2,prime)=MOD(B188,prime))*(ROW($A$1:$A$313)&lt;prime)*(MOD(ROW($A$1:$A$313),2)=1)*ROW($A$1:$A$313))))</f>
        <v/>
      </c>
      <c r="D188">
        <f>IF(OR(NOT(ISNUMBER(C188)),C188=0),NA(),MOD(prime-C188,prime))</f>
        <v/>
      </c>
    </row>
    <row r="189">
      <c r="A189" t="n">
        <v>181</v>
      </c>
      <c r="B189">
        <f>MOD(A189^3+a*A189+b,prime)</f>
        <v/>
      </c>
      <c r="C189">
        <f>IF(MOD(B189,prime)=0,0,IF(SUMPRODUCT((MOD(ROW($A$1:$A$313)^2,prime)=MOD(B189,prime))*(ROW($A$1:$A$313)&lt;prime)*(MOD(ROW($A$1:$A$313),2)=1)*ROW($A$1:$A$313))=0,NA(),SUMPRODUCT((MOD(ROW($A$1:$A$313)^2,prime)=MOD(B189,prime))*(ROW($A$1:$A$313)&lt;prime)*(MOD(ROW($A$1:$A$313),2)=1)*ROW($A$1:$A$313))))</f>
        <v/>
      </c>
      <c r="D189">
        <f>IF(OR(NOT(ISNUMBER(C189)),C189=0),NA(),MOD(prime-C189,prime))</f>
        <v/>
      </c>
    </row>
    <row r="190">
      <c r="A190" t="n">
        <v>182</v>
      </c>
      <c r="B190">
        <f>MOD(A190^3+a*A190+b,prime)</f>
        <v/>
      </c>
      <c r="C190">
        <f>IF(MOD(B190,prime)=0,0,IF(SUMPRODUCT((MOD(ROW($A$1:$A$313)^2,prime)=MOD(B190,prime))*(ROW($A$1:$A$313)&lt;prime)*(MOD(ROW($A$1:$A$313),2)=1)*ROW($A$1:$A$313))=0,NA(),SUMPRODUCT((MOD(ROW($A$1:$A$313)^2,prime)=MOD(B190,prime))*(ROW($A$1:$A$313)&lt;prime)*(MOD(ROW($A$1:$A$313),2)=1)*ROW($A$1:$A$313))))</f>
        <v/>
      </c>
      <c r="D190">
        <f>IF(OR(NOT(ISNUMBER(C190)),C190=0),NA(),MOD(prime-C190,prime))</f>
        <v/>
      </c>
    </row>
    <row r="191">
      <c r="A191" t="n">
        <v>183</v>
      </c>
      <c r="B191">
        <f>MOD(A191^3+a*A191+b,prime)</f>
        <v/>
      </c>
      <c r="C191">
        <f>IF(MOD(B191,prime)=0,0,IF(SUMPRODUCT((MOD(ROW($A$1:$A$313)^2,prime)=MOD(B191,prime))*(ROW($A$1:$A$313)&lt;prime)*(MOD(ROW($A$1:$A$313),2)=1)*ROW($A$1:$A$313))=0,NA(),SUMPRODUCT((MOD(ROW($A$1:$A$313)^2,prime)=MOD(B191,prime))*(ROW($A$1:$A$313)&lt;prime)*(MOD(ROW($A$1:$A$313),2)=1)*ROW($A$1:$A$313))))</f>
        <v/>
      </c>
      <c r="D191">
        <f>IF(OR(NOT(ISNUMBER(C191)),C191=0),NA(),MOD(prime-C191,prime))</f>
        <v/>
      </c>
    </row>
    <row r="192">
      <c r="A192" t="n">
        <v>184</v>
      </c>
      <c r="B192">
        <f>MOD(A192^3+a*A192+b,prime)</f>
        <v/>
      </c>
      <c r="C192">
        <f>IF(MOD(B192,prime)=0,0,IF(SUMPRODUCT((MOD(ROW($A$1:$A$313)^2,prime)=MOD(B192,prime))*(ROW($A$1:$A$313)&lt;prime)*(MOD(ROW($A$1:$A$313),2)=1)*ROW($A$1:$A$313))=0,NA(),SUMPRODUCT((MOD(ROW($A$1:$A$313)^2,prime)=MOD(B192,prime))*(ROW($A$1:$A$313)&lt;prime)*(MOD(ROW($A$1:$A$313),2)=1)*ROW($A$1:$A$313))))</f>
        <v/>
      </c>
      <c r="D192">
        <f>IF(OR(NOT(ISNUMBER(C192)),C192=0),NA(),MOD(prime-C192,prime))</f>
        <v/>
      </c>
    </row>
    <row r="193">
      <c r="A193" t="n">
        <v>185</v>
      </c>
      <c r="B193">
        <f>MOD(A193^3+a*A193+b,prime)</f>
        <v/>
      </c>
      <c r="C193">
        <f>IF(MOD(B193,prime)=0,0,IF(SUMPRODUCT((MOD(ROW($A$1:$A$313)^2,prime)=MOD(B193,prime))*(ROW($A$1:$A$313)&lt;prime)*(MOD(ROW($A$1:$A$313),2)=1)*ROW($A$1:$A$313))=0,NA(),SUMPRODUCT((MOD(ROW($A$1:$A$313)^2,prime)=MOD(B193,prime))*(ROW($A$1:$A$313)&lt;prime)*(MOD(ROW($A$1:$A$313),2)=1)*ROW($A$1:$A$313))))</f>
        <v/>
      </c>
      <c r="D193">
        <f>IF(OR(NOT(ISNUMBER(C193)),C193=0),NA(),MOD(prime-C193,prime))</f>
        <v/>
      </c>
    </row>
    <row r="194">
      <c r="A194" t="n">
        <v>186</v>
      </c>
      <c r="B194">
        <f>MOD(A194^3+a*A194+b,prime)</f>
        <v/>
      </c>
      <c r="C194">
        <f>IF(MOD(B194,prime)=0,0,IF(SUMPRODUCT((MOD(ROW($A$1:$A$313)^2,prime)=MOD(B194,prime))*(ROW($A$1:$A$313)&lt;prime)*(MOD(ROW($A$1:$A$313),2)=1)*ROW($A$1:$A$313))=0,NA(),SUMPRODUCT((MOD(ROW($A$1:$A$313)^2,prime)=MOD(B194,prime))*(ROW($A$1:$A$313)&lt;prime)*(MOD(ROW($A$1:$A$313),2)=1)*ROW($A$1:$A$313))))</f>
        <v/>
      </c>
      <c r="D194">
        <f>IF(OR(NOT(ISNUMBER(C194)),C194=0),NA(),MOD(prime-C194,prime))</f>
        <v/>
      </c>
    </row>
    <row r="195">
      <c r="A195" t="n">
        <v>187</v>
      </c>
      <c r="B195">
        <f>MOD(A195^3+a*A195+b,prime)</f>
        <v/>
      </c>
      <c r="C195">
        <f>IF(MOD(B195,prime)=0,0,IF(SUMPRODUCT((MOD(ROW($A$1:$A$313)^2,prime)=MOD(B195,prime))*(ROW($A$1:$A$313)&lt;prime)*(MOD(ROW($A$1:$A$313),2)=1)*ROW($A$1:$A$313))=0,NA(),SUMPRODUCT((MOD(ROW($A$1:$A$313)^2,prime)=MOD(B195,prime))*(ROW($A$1:$A$313)&lt;prime)*(MOD(ROW($A$1:$A$313),2)=1)*ROW($A$1:$A$313))))</f>
        <v/>
      </c>
      <c r="D195">
        <f>IF(OR(NOT(ISNUMBER(C195)),C195=0),NA(),MOD(prime-C195,prime))</f>
        <v/>
      </c>
    </row>
    <row r="196">
      <c r="A196" t="n">
        <v>188</v>
      </c>
      <c r="B196">
        <f>MOD(A196^3+a*A196+b,prime)</f>
        <v/>
      </c>
      <c r="C196">
        <f>IF(MOD(B196,prime)=0,0,IF(SUMPRODUCT((MOD(ROW($A$1:$A$313)^2,prime)=MOD(B196,prime))*(ROW($A$1:$A$313)&lt;prime)*(MOD(ROW($A$1:$A$313),2)=1)*ROW($A$1:$A$313))=0,NA(),SUMPRODUCT((MOD(ROW($A$1:$A$313)^2,prime)=MOD(B196,prime))*(ROW($A$1:$A$313)&lt;prime)*(MOD(ROW($A$1:$A$313),2)=1)*ROW($A$1:$A$313))))</f>
        <v/>
      </c>
      <c r="D196">
        <f>IF(OR(NOT(ISNUMBER(C196)),C196=0),NA(),MOD(prime-C196,prime))</f>
        <v/>
      </c>
    </row>
    <row r="197">
      <c r="A197" t="n">
        <v>189</v>
      </c>
      <c r="B197">
        <f>MOD(A197^3+a*A197+b,prime)</f>
        <v/>
      </c>
      <c r="C197">
        <f>IF(MOD(B197,prime)=0,0,IF(SUMPRODUCT((MOD(ROW($A$1:$A$313)^2,prime)=MOD(B197,prime))*(ROW($A$1:$A$313)&lt;prime)*(MOD(ROW($A$1:$A$313),2)=1)*ROW($A$1:$A$313))=0,NA(),SUMPRODUCT((MOD(ROW($A$1:$A$313)^2,prime)=MOD(B197,prime))*(ROW($A$1:$A$313)&lt;prime)*(MOD(ROW($A$1:$A$313),2)=1)*ROW($A$1:$A$313))))</f>
        <v/>
      </c>
      <c r="D197">
        <f>IF(OR(NOT(ISNUMBER(C197)),C197=0),NA(),MOD(prime-C197,prime))</f>
        <v/>
      </c>
    </row>
    <row r="198">
      <c r="A198" t="n">
        <v>190</v>
      </c>
      <c r="B198">
        <f>MOD(A198^3+a*A198+b,prime)</f>
        <v/>
      </c>
      <c r="C198">
        <f>IF(MOD(B198,prime)=0,0,IF(SUMPRODUCT((MOD(ROW($A$1:$A$313)^2,prime)=MOD(B198,prime))*(ROW($A$1:$A$313)&lt;prime)*(MOD(ROW($A$1:$A$313),2)=1)*ROW($A$1:$A$313))=0,NA(),SUMPRODUCT((MOD(ROW($A$1:$A$313)^2,prime)=MOD(B198,prime))*(ROW($A$1:$A$313)&lt;prime)*(MOD(ROW($A$1:$A$313),2)=1)*ROW($A$1:$A$313))))</f>
        <v/>
      </c>
      <c r="D198">
        <f>IF(OR(NOT(ISNUMBER(C198)),C198=0),NA(),MOD(prime-C198,prime))</f>
        <v/>
      </c>
    </row>
    <row r="199">
      <c r="A199" t="n">
        <v>191</v>
      </c>
      <c r="B199">
        <f>MOD(A199^3+a*A199+b,prime)</f>
        <v/>
      </c>
      <c r="C199">
        <f>IF(MOD(B199,prime)=0,0,IF(SUMPRODUCT((MOD(ROW($A$1:$A$313)^2,prime)=MOD(B199,prime))*(ROW($A$1:$A$313)&lt;prime)*(MOD(ROW($A$1:$A$313),2)=1)*ROW($A$1:$A$313))=0,NA(),SUMPRODUCT((MOD(ROW($A$1:$A$313)^2,prime)=MOD(B199,prime))*(ROW($A$1:$A$313)&lt;prime)*(MOD(ROW($A$1:$A$313),2)=1)*ROW($A$1:$A$313))))</f>
        <v/>
      </c>
      <c r="D199">
        <f>IF(OR(NOT(ISNUMBER(C199)),C199=0),NA(),MOD(prime-C199,prime))</f>
        <v/>
      </c>
    </row>
    <row r="200">
      <c r="A200" t="n">
        <v>192</v>
      </c>
      <c r="B200">
        <f>MOD(A200^3+a*A200+b,prime)</f>
        <v/>
      </c>
      <c r="C200">
        <f>IF(MOD(B200,prime)=0,0,IF(SUMPRODUCT((MOD(ROW($A$1:$A$313)^2,prime)=MOD(B200,prime))*(ROW($A$1:$A$313)&lt;prime)*(MOD(ROW($A$1:$A$313),2)=1)*ROW($A$1:$A$313))=0,NA(),SUMPRODUCT((MOD(ROW($A$1:$A$313)^2,prime)=MOD(B200,prime))*(ROW($A$1:$A$313)&lt;prime)*(MOD(ROW($A$1:$A$313),2)=1)*ROW($A$1:$A$313))))</f>
        <v/>
      </c>
      <c r="D200">
        <f>IF(OR(NOT(ISNUMBER(C200)),C200=0),NA(),MOD(prime-C200,prime))</f>
        <v/>
      </c>
    </row>
    <row r="201">
      <c r="A201" t="n">
        <v>193</v>
      </c>
      <c r="B201">
        <f>MOD(A201^3+a*A201+b,prime)</f>
        <v/>
      </c>
      <c r="C201">
        <f>IF(MOD(B201,prime)=0,0,IF(SUMPRODUCT((MOD(ROW($A$1:$A$313)^2,prime)=MOD(B201,prime))*(ROW($A$1:$A$313)&lt;prime)*(MOD(ROW($A$1:$A$313),2)=1)*ROW($A$1:$A$313))=0,NA(),SUMPRODUCT((MOD(ROW($A$1:$A$313)^2,prime)=MOD(B201,prime))*(ROW($A$1:$A$313)&lt;prime)*(MOD(ROW($A$1:$A$313),2)=1)*ROW($A$1:$A$313))))</f>
        <v/>
      </c>
      <c r="D201">
        <f>IF(OR(NOT(ISNUMBER(C201)),C201=0),NA(),MOD(prime-C201,prime))</f>
        <v/>
      </c>
    </row>
    <row r="202">
      <c r="A202" t="n">
        <v>194</v>
      </c>
      <c r="B202">
        <f>MOD(A202^3+a*A202+b,prime)</f>
        <v/>
      </c>
      <c r="C202">
        <f>IF(MOD(B202,prime)=0,0,IF(SUMPRODUCT((MOD(ROW($A$1:$A$313)^2,prime)=MOD(B202,prime))*(ROW($A$1:$A$313)&lt;prime)*(MOD(ROW($A$1:$A$313),2)=1)*ROW($A$1:$A$313))=0,NA(),SUMPRODUCT((MOD(ROW($A$1:$A$313)^2,prime)=MOD(B202,prime))*(ROW($A$1:$A$313)&lt;prime)*(MOD(ROW($A$1:$A$313),2)=1)*ROW($A$1:$A$313))))</f>
        <v/>
      </c>
      <c r="D202">
        <f>IF(OR(NOT(ISNUMBER(C202)),C202=0),NA(),MOD(prime-C202,prime))</f>
        <v/>
      </c>
    </row>
    <row r="203">
      <c r="A203" t="n">
        <v>195</v>
      </c>
      <c r="B203">
        <f>MOD(A203^3+a*A203+b,prime)</f>
        <v/>
      </c>
      <c r="C203">
        <f>IF(MOD(B203,prime)=0,0,IF(SUMPRODUCT((MOD(ROW($A$1:$A$313)^2,prime)=MOD(B203,prime))*(ROW($A$1:$A$313)&lt;prime)*(MOD(ROW($A$1:$A$313),2)=1)*ROW($A$1:$A$313))=0,NA(),SUMPRODUCT((MOD(ROW($A$1:$A$313)^2,prime)=MOD(B203,prime))*(ROW($A$1:$A$313)&lt;prime)*(MOD(ROW($A$1:$A$313),2)=1)*ROW($A$1:$A$313))))</f>
        <v/>
      </c>
      <c r="D203">
        <f>IF(OR(NOT(ISNUMBER(C203)),C203=0),NA(),MOD(prime-C203,prime))</f>
        <v/>
      </c>
    </row>
    <row r="204">
      <c r="A204" t="n">
        <v>196</v>
      </c>
      <c r="B204">
        <f>MOD(A204^3+a*A204+b,prime)</f>
        <v/>
      </c>
      <c r="C204">
        <f>IF(MOD(B204,prime)=0,0,IF(SUMPRODUCT((MOD(ROW($A$1:$A$313)^2,prime)=MOD(B204,prime))*(ROW($A$1:$A$313)&lt;prime)*(MOD(ROW($A$1:$A$313),2)=1)*ROW($A$1:$A$313))=0,NA(),SUMPRODUCT((MOD(ROW($A$1:$A$313)^2,prime)=MOD(B204,prime))*(ROW($A$1:$A$313)&lt;prime)*(MOD(ROW($A$1:$A$313),2)=1)*ROW($A$1:$A$313))))</f>
        <v/>
      </c>
      <c r="D204">
        <f>IF(OR(NOT(ISNUMBER(C204)),C204=0),NA(),MOD(prime-C204,prime))</f>
        <v/>
      </c>
    </row>
    <row r="205">
      <c r="A205" t="n">
        <v>197</v>
      </c>
      <c r="B205">
        <f>MOD(A205^3+a*A205+b,prime)</f>
        <v/>
      </c>
      <c r="C205">
        <f>IF(MOD(B205,prime)=0,0,IF(SUMPRODUCT((MOD(ROW($A$1:$A$313)^2,prime)=MOD(B205,prime))*(ROW($A$1:$A$313)&lt;prime)*(MOD(ROW($A$1:$A$313),2)=1)*ROW($A$1:$A$313))=0,NA(),SUMPRODUCT((MOD(ROW($A$1:$A$313)^2,prime)=MOD(B205,prime))*(ROW($A$1:$A$313)&lt;prime)*(MOD(ROW($A$1:$A$313),2)=1)*ROW($A$1:$A$313))))</f>
        <v/>
      </c>
      <c r="D205">
        <f>IF(OR(NOT(ISNUMBER(C205)),C205=0),NA(),MOD(prime-C205,prime))</f>
        <v/>
      </c>
    </row>
    <row r="206">
      <c r="A206" t="n">
        <v>198</v>
      </c>
      <c r="B206">
        <f>MOD(A206^3+a*A206+b,prime)</f>
        <v/>
      </c>
      <c r="C206">
        <f>IF(MOD(B206,prime)=0,0,IF(SUMPRODUCT((MOD(ROW($A$1:$A$313)^2,prime)=MOD(B206,prime))*(ROW($A$1:$A$313)&lt;prime)*(MOD(ROW($A$1:$A$313),2)=1)*ROW($A$1:$A$313))=0,NA(),SUMPRODUCT((MOD(ROW($A$1:$A$313)^2,prime)=MOD(B206,prime))*(ROW($A$1:$A$313)&lt;prime)*(MOD(ROW($A$1:$A$313),2)=1)*ROW($A$1:$A$313))))</f>
        <v/>
      </c>
      <c r="D206">
        <f>IF(OR(NOT(ISNUMBER(C206)),C206=0),NA(),MOD(prime-C206,prime))</f>
        <v/>
      </c>
    </row>
    <row r="207">
      <c r="A207" t="n">
        <v>199</v>
      </c>
      <c r="B207">
        <f>MOD(A207^3+a*A207+b,prime)</f>
        <v/>
      </c>
      <c r="C207">
        <f>IF(MOD(B207,prime)=0,0,IF(SUMPRODUCT((MOD(ROW($A$1:$A$313)^2,prime)=MOD(B207,prime))*(ROW($A$1:$A$313)&lt;prime)*(MOD(ROW($A$1:$A$313),2)=1)*ROW($A$1:$A$313))=0,NA(),SUMPRODUCT((MOD(ROW($A$1:$A$313)^2,prime)=MOD(B207,prime))*(ROW($A$1:$A$313)&lt;prime)*(MOD(ROW($A$1:$A$313),2)=1)*ROW($A$1:$A$313))))</f>
        <v/>
      </c>
      <c r="D207">
        <f>IF(OR(NOT(ISNUMBER(C207)),C207=0),NA(),MOD(prime-C207,prime))</f>
        <v/>
      </c>
    </row>
    <row r="208">
      <c r="A208" t="n">
        <v>200</v>
      </c>
      <c r="B208">
        <f>MOD(A208^3+a*A208+b,prime)</f>
        <v/>
      </c>
      <c r="C208">
        <f>IF(MOD(B208,prime)=0,0,IF(SUMPRODUCT((MOD(ROW($A$1:$A$313)^2,prime)=MOD(B208,prime))*(ROW($A$1:$A$313)&lt;prime)*(MOD(ROW($A$1:$A$313),2)=1)*ROW($A$1:$A$313))=0,NA(),SUMPRODUCT((MOD(ROW($A$1:$A$313)^2,prime)=MOD(B208,prime))*(ROW($A$1:$A$313)&lt;prime)*(MOD(ROW($A$1:$A$313),2)=1)*ROW($A$1:$A$313))))</f>
        <v/>
      </c>
      <c r="D208">
        <f>IF(OR(NOT(ISNUMBER(C208)),C208=0),NA(),MOD(prime-C208,prime))</f>
        <v/>
      </c>
    </row>
    <row r="209">
      <c r="A209" t="n">
        <v>201</v>
      </c>
      <c r="B209">
        <f>MOD(A209^3+a*A209+b,prime)</f>
        <v/>
      </c>
      <c r="C209">
        <f>IF(MOD(B209,prime)=0,0,IF(SUMPRODUCT((MOD(ROW($A$1:$A$313)^2,prime)=MOD(B209,prime))*(ROW($A$1:$A$313)&lt;prime)*(MOD(ROW($A$1:$A$313),2)=1)*ROW($A$1:$A$313))=0,NA(),SUMPRODUCT((MOD(ROW($A$1:$A$313)^2,prime)=MOD(B209,prime))*(ROW($A$1:$A$313)&lt;prime)*(MOD(ROW($A$1:$A$313),2)=1)*ROW($A$1:$A$313))))</f>
        <v/>
      </c>
      <c r="D209">
        <f>IF(OR(NOT(ISNUMBER(C209)),C209=0),NA(),MOD(prime-C209,prime))</f>
        <v/>
      </c>
    </row>
    <row r="210">
      <c r="A210" t="n">
        <v>202</v>
      </c>
      <c r="B210">
        <f>MOD(A210^3+a*A210+b,prime)</f>
        <v/>
      </c>
      <c r="C210">
        <f>IF(MOD(B210,prime)=0,0,IF(SUMPRODUCT((MOD(ROW($A$1:$A$313)^2,prime)=MOD(B210,prime))*(ROW($A$1:$A$313)&lt;prime)*(MOD(ROW($A$1:$A$313),2)=1)*ROW($A$1:$A$313))=0,NA(),SUMPRODUCT((MOD(ROW($A$1:$A$313)^2,prime)=MOD(B210,prime))*(ROW($A$1:$A$313)&lt;prime)*(MOD(ROW($A$1:$A$313),2)=1)*ROW($A$1:$A$313))))</f>
        <v/>
      </c>
      <c r="D210">
        <f>IF(OR(NOT(ISNUMBER(C210)),C210=0),NA(),MOD(prime-C210,prime))</f>
        <v/>
      </c>
    </row>
    <row r="211">
      <c r="A211" t="n">
        <v>203</v>
      </c>
      <c r="B211">
        <f>MOD(A211^3+a*A211+b,prime)</f>
        <v/>
      </c>
      <c r="C211">
        <f>IF(MOD(B211,prime)=0,0,IF(SUMPRODUCT((MOD(ROW($A$1:$A$313)^2,prime)=MOD(B211,prime))*(ROW($A$1:$A$313)&lt;prime)*(MOD(ROW($A$1:$A$313),2)=1)*ROW($A$1:$A$313))=0,NA(),SUMPRODUCT((MOD(ROW($A$1:$A$313)^2,prime)=MOD(B211,prime))*(ROW($A$1:$A$313)&lt;prime)*(MOD(ROW($A$1:$A$313),2)=1)*ROW($A$1:$A$313))))</f>
        <v/>
      </c>
      <c r="D211">
        <f>IF(OR(NOT(ISNUMBER(C211)),C211=0),NA(),MOD(prime-C211,prime))</f>
        <v/>
      </c>
    </row>
    <row r="212">
      <c r="A212" t="n">
        <v>204</v>
      </c>
      <c r="B212">
        <f>MOD(A212^3+a*A212+b,prime)</f>
        <v/>
      </c>
      <c r="C212">
        <f>IF(MOD(B212,prime)=0,0,IF(SUMPRODUCT((MOD(ROW($A$1:$A$313)^2,prime)=MOD(B212,prime))*(ROW($A$1:$A$313)&lt;prime)*(MOD(ROW($A$1:$A$313),2)=1)*ROW($A$1:$A$313))=0,NA(),SUMPRODUCT((MOD(ROW($A$1:$A$313)^2,prime)=MOD(B212,prime))*(ROW($A$1:$A$313)&lt;prime)*(MOD(ROW($A$1:$A$313),2)=1)*ROW($A$1:$A$313))))</f>
        <v/>
      </c>
      <c r="D212">
        <f>IF(OR(NOT(ISNUMBER(C212)),C212=0),NA(),MOD(prime-C212,prime))</f>
        <v/>
      </c>
    </row>
    <row r="213">
      <c r="A213" t="n">
        <v>205</v>
      </c>
      <c r="B213">
        <f>MOD(A213^3+a*A213+b,prime)</f>
        <v/>
      </c>
      <c r="C213">
        <f>IF(MOD(B213,prime)=0,0,IF(SUMPRODUCT((MOD(ROW($A$1:$A$313)^2,prime)=MOD(B213,prime))*(ROW($A$1:$A$313)&lt;prime)*(MOD(ROW($A$1:$A$313),2)=1)*ROW($A$1:$A$313))=0,NA(),SUMPRODUCT((MOD(ROW($A$1:$A$313)^2,prime)=MOD(B213,prime))*(ROW($A$1:$A$313)&lt;prime)*(MOD(ROW($A$1:$A$313),2)=1)*ROW($A$1:$A$313))))</f>
        <v/>
      </c>
      <c r="D213">
        <f>IF(OR(NOT(ISNUMBER(C213)),C213=0),NA(),MOD(prime-C213,prime))</f>
        <v/>
      </c>
    </row>
    <row r="214">
      <c r="A214" t="n">
        <v>206</v>
      </c>
      <c r="B214">
        <f>MOD(A214^3+a*A214+b,prime)</f>
        <v/>
      </c>
      <c r="C214">
        <f>IF(MOD(B214,prime)=0,0,IF(SUMPRODUCT((MOD(ROW($A$1:$A$313)^2,prime)=MOD(B214,prime))*(ROW($A$1:$A$313)&lt;prime)*(MOD(ROW($A$1:$A$313),2)=1)*ROW($A$1:$A$313))=0,NA(),SUMPRODUCT((MOD(ROW($A$1:$A$313)^2,prime)=MOD(B214,prime))*(ROW($A$1:$A$313)&lt;prime)*(MOD(ROW($A$1:$A$313),2)=1)*ROW($A$1:$A$313))))</f>
        <v/>
      </c>
      <c r="D214">
        <f>IF(OR(NOT(ISNUMBER(C214)),C214=0),NA(),MOD(prime-C214,prime))</f>
        <v/>
      </c>
    </row>
    <row r="215">
      <c r="A215" t="n">
        <v>207</v>
      </c>
      <c r="B215">
        <f>MOD(A215^3+a*A215+b,prime)</f>
        <v/>
      </c>
      <c r="C215">
        <f>IF(MOD(B215,prime)=0,0,IF(SUMPRODUCT((MOD(ROW($A$1:$A$313)^2,prime)=MOD(B215,prime))*(ROW($A$1:$A$313)&lt;prime)*(MOD(ROW($A$1:$A$313),2)=1)*ROW($A$1:$A$313))=0,NA(),SUMPRODUCT((MOD(ROW($A$1:$A$313)^2,prime)=MOD(B215,prime))*(ROW($A$1:$A$313)&lt;prime)*(MOD(ROW($A$1:$A$313),2)=1)*ROW($A$1:$A$313))))</f>
        <v/>
      </c>
      <c r="D215">
        <f>IF(OR(NOT(ISNUMBER(C215)),C215=0),NA(),MOD(prime-C215,prime))</f>
        <v/>
      </c>
    </row>
    <row r="216">
      <c r="A216" t="n">
        <v>208</v>
      </c>
      <c r="B216">
        <f>MOD(A216^3+a*A216+b,prime)</f>
        <v/>
      </c>
      <c r="C216">
        <f>IF(MOD(B216,prime)=0,0,IF(SUMPRODUCT((MOD(ROW($A$1:$A$313)^2,prime)=MOD(B216,prime))*(ROW($A$1:$A$313)&lt;prime)*(MOD(ROW($A$1:$A$313),2)=1)*ROW($A$1:$A$313))=0,NA(),SUMPRODUCT((MOD(ROW($A$1:$A$313)^2,prime)=MOD(B216,prime))*(ROW($A$1:$A$313)&lt;prime)*(MOD(ROW($A$1:$A$313),2)=1)*ROW($A$1:$A$313))))</f>
        <v/>
      </c>
      <c r="D216">
        <f>IF(OR(NOT(ISNUMBER(C216)),C216=0),NA(),MOD(prime-C216,prime))</f>
        <v/>
      </c>
    </row>
    <row r="217">
      <c r="A217" t="n">
        <v>209</v>
      </c>
      <c r="B217">
        <f>MOD(A217^3+a*A217+b,prime)</f>
        <v/>
      </c>
      <c r="C217">
        <f>IF(MOD(B217,prime)=0,0,IF(SUMPRODUCT((MOD(ROW($A$1:$A$313)^2,prime)=MOD(B217,prime))*(ROW($A$1:$A$313)&lt;prime)*(MOD(ROW($A$1:$A$313),2)=1)*ROW($A$1:$A$313))=0,NA(),SUMPRODUCT((MOD(ROW($A$1:$A$313)^2,prime)=MOD(B217,prime))*(ROW($A$1:$A$313)&lt;prime)*(MOD(ROW($A$1:$A$313),2)=1)*ROW($A$1:$A$313))))</f>
        <v/>
      </c>
      <c r="D217">
        <f>IF(OR(NOT(ISNUMBER(C217)),C217=0),NA(),MOD(prime-C217,prime))</f>
        <v/>
      </c>
    </row>
    <row r="218">
      <c r="A218" t="n">
        <v>210</v>
      </c>
      <c r="B218">
        <f>MOD(A218^3+a*A218+b,prime)</f>
        <v/>
      </c>
      <c r="C218">
        <f>IF(MOD(B218,prime)=0,0,IF(SUMPRODUCT((MOD(ROW($A$1:$A$313)^2,prime)=MOD(B218,prime))*(ROW($A$1:$A$313)&lt;prime)*(MOD(ROW($A$1:$A$313),2)=1)*ROW($A$1:$A$313))=0,NA(),SUMPRODUCT((MOD(ROW($A$1:$A$313)^2,prime)=MOD(B218,prime))*(ROW($A$1:$A$313)&lt;prime)*(MOD(ROW($A$1:$A$313),2)=1)*ROW($A$1:$A$313))))</f>
        <v/>
      </c>
      <c r="D218">
        <f>IF(OR(NOT(ISNUMBER(C218)),C218=0),NA(),MOD(prime-C218,prime))</f>
        <v/>
      </c>
    </row>
    <row r="219">
      <c r="A219" t="n">
        <v>211</v>
      </c>
      <c r="B219">
        <f>MOD(A219^3+a*A219+b,prime)</f>
        <v/>
      </c>
      <c r="C219">
        <f>IF(MOD(B219,prime)=0,0,IF(SUMPRODUCT((MOD(ROW($A$1:$A$313)^2,prime)=MOD(B219,prime))*(ROW($A$1:$A$313)&lt;prime)*(MOD(ROW($A$1:$A$313),2)=1)*ROW($A$1:$A$313))=0,NA(),SUMPRODUCT((MOD(ROW($A$1:$A$313)^2,prime)=MOD(B219,prime))*(ROW($A$1:$A$313)&lt;prime)*(MOD(ROW($A$1:$A$313),2)=1)*ROW($A$1:$A$313))))</f>
        <v/>
      </c>
      <c r="D219">
        <f>IF(OR(NOT(ISNUMBER(C219)),C219=0),NA(),MOD(prime-C219,prime))</f>
        <v/>
      </c>
    </row>
    <row r="220">
      <c r="A220" t="n">
        <v>212</v>
      </c>
      <c r="B220">
        <f>MOD(A220^3+a*A220+b,prime)</f>
        <v/>
      </c>
      <c r="C220">
        <f>IF(MOD(B220,prime)=0,0,IF(SUMPRODUCT((MOD(ROW($A$1:$A$313)^2,prime)=MOD(B220,prime))*(ROW($A$1:$A$313)&lt;prime)*(MOD(ROW($A$1:$A$313),2)=1)*ROW($A$1:$A$313))=0,NA(),SUMPRODUCT((MOD(ROW($A$1:$A$313)^2,prime)=MOD(B220,prime))*(ROW($A$1:$A$313)&lt;prime)*(MOD(ROW($A$1:$A$313),2)=1)*ROW($A$1:$A$313))))</f>
        <v/>
      </c>
      <c r="D220">
        <f>IF(OR(NOT(ISNUMBER(C220)),C220=0),NA(),MOD(prime-C220,prime))</f>
        <v/>
      </c>
    </row>
    <row r="221">
      <c r="A221" t="n">
        <v>213</v>
      </c>
      <c r="B221">
        <f>MOD(A221^3+a*A221+b,prime)</f>
        <v/>
      </c>
      <c r="C221">
        <f>IF(MOD(B221,prime)=0,0,IF(SUMPRODUCT((MOD(ROW($A$1:$A$313)^2,prime)=MOD(B221,prime))*(ROW($A$1:$A$313)&lt;prime)*(MOD(ROW($A$1:$A$313),2)=1)*ROW($A$1:$A$313))=0,NA(),SUMPRODUCT((MOD(ROW($A$1:$A$313)^2,prime)=MOD(B221,prime))*(ROW($A$1:$A$313)&lt;prime)*(MOD(ROW($A$1:$A$313),2)=1)*ROW($A$1:$A$313))))</f>
        <v/>
      </c>
      <c r="D221">
        <f>IF(OR(NOT(ISNUMBER(C221)),C221=0),NA(),MOD(prime-C221,prime))</f>
        <v/>
      </c>
    </row>
    <row r="222">
      <c r="A222" t="n">
        <v>214</v>
      </c>
      <c r="B222">
        <f>MOD(A222^3+a*A222+b,prime)</f>
        <v/>
      </c>
      <c r="C222">
        <f>IF(MOD(B222,prime)=0,0,IF(SUMPRODUCT((MOD(ROW($A$1:$A$313)^2,prime)=MOD(B222,prime))*(ROW($A$1:$A$313)&lt;prime)*(MOD(ROW($A$1:$A$313),2)=1)*ROW($A$1:$A$313))=0,NA(),SUMPRODUCT((MOD(ROW($A$1:$A$313)^2,prime)=MOD(B222,prime))*(ROW($A$1:$A$313)&lt;prime)*(MOD(ROW($A$1:$A$313),2)=1)*ROW($A$1:$A$313))))</f>
        <v/>
      </c>
      <c r="D222">
        <f>IF(OR(NOT(ISNUMBER(C222)),C222=0),NA(),MOD(prime-C222,prime))</f>
        <v/>
      </c>
    </row>
    <row r="223">
      <c r="A223" t="n">
        <v>215</v>
      </c>
      <c r="B223">
        <f>MOD(A223^3+a*A223+b,prime)</f>
        <v/>
      </c>
      <c r="C223">
        <f>IF(MOD(B223,prime)=0,0,IF(SUMPRODUCT((MOD(ROW($A$1:$A$313)^2,prime)=MOD(B223,prime))*(ROW($A$1:$A$313)&lt;prime)*(MOD(ROW($A$1:$A$313),2)=1)*ROW($A$1:$A$313))=0,NA(),SUMPRODUCT((MOD(ROW($A$1:$A$313)^2,prime)=MOD(B223,prime))*(ROW($A$1:$A$313)&lt;prime)*(MOD(ROW($A$1:$A$313),2)=1)*ROW($A$1:$A$313))))</f>
        <v/>
      </c>
      <c r="D223">
        <f>IF(OR(NOT(ISNUMBER(C223)),C223=0),NA(),MOD(prime-C223,prime))</f>
        <v/>
      </c>
    </row>
    <row r="224">
      <c r="A224" t="n">
        <v>216</v>
      </c>
      <c r="B224">
        <f>MOD(A224^3+a*A224+b,prime)</f>
        <v/>
      </c>
      <c r="C224">
        <f>IF(MOD(B224,prime)=0,0,IF(SUMPRODUCT((MOD(ROW($A$1:$A$313)^2,prime)=MOD(B224,prime))*(ROW($A$1:$A$313)&lt;prime)*(MOD(ROW($A$1:$A$313),2)=1)*ROW($A$1:$A$313))=0,NA(),SUMPRODUCT((MOD(ROW($A$1:$A$313)^2,prime)=MOD(B224,prime))*(ROW($A$1:$A$313)&lt;prime)*(MOD(ROW($A$1:$A$313),2)=1)*ROW($A$1:$A$313))))</f>
        <v/>
      </c>
      <c r="D224">
        <f>IF(OR(NOT(ISNUMBER(C224)),C224=0),NA(),MOD(prime-C224,prime))</f>
        <v/>
      </c>
    </row>
    <row r="225">
      <c r="A225" t="n">
        <v>217</v>
      </c>
      <c r="B225">
        <f>MOD(A225^3+a*A225+b,prime)</f>
        <v/>
      </c>
      <c r="C225">
        <f>IF(MOD(B225,prime)=0,0,IF(SUMPRODUCT((MOD(ROW($A$1:$A$313)^2,prime)=MOD(B225,prime))*(ROW($A$1:$A$313)&lt;prime)*(MOD(ROW($A$1:$A$313),2)=1)*ROW($A$1:$A$313))=0,NA(),SUMPRODUCT((MOD(ROW($A$1:$A$313)^2,prime)=MOD(B225,prime))*(ROW($A$1:$A$313)&lt;prime)*(MOD(ROW($A$1:$A$313),2)=1)*ROW($A$1:$A$313))))</f>
        <v/>
      </c>
      <c r="D225">
        <f>IF(OR(NOT(ISNUMBER(C225)),C225=0),NA(),MOD(prime-C225,prime))</f>
        <v/>
      </c>
    </row>
    <row r="226">
      <c r="A226" t="n">
        <v>218</v>
      </c>
      <c r="B226">
        <f>MOD(A226^3+a*A226+b,prime)</f>
        <v/>
      </c>
      <c r="C226">
        <f>IF(MOD(B226,prime)=0,0,IF(SUMPRODUCT((MOD(ROW($A$1:$A$313)^2,prime)=MOD(B226,prime))*(ROW($A$1:$A$313)&lt;prime)*(MOD(ROW($A$1:$A$313),2)=1)*ROW($A$1:$A$313))=0,NA(),SUMPRODUCT((MOD(ROW($A$1:$A$313)^2,prime)=MOD(B226,prime))*(ROW($A$1:$A$313)&lt;prime)*(MOD(ROW($A$1:$A$313),2)=1)*ROW($A$1:$A$313))))</f>
        <v/>
      </c>
      <c r="D226">
        <f>IF(OR(NOT(ISNUMBER(C226)),C226=0),NA(),MOD(prime-C226,prime))</f>
        <v/>
      </c>
    </row>
    <row r="227">
      <c r="A227" t="n">
        <v>219</v>
      </c>
      <c r="B227">
        <f>MOD(A227^3+a*A227+b,prime)</f>
        <v/>
      </c>
      <c r="C227">
        <f>IF(MOD(B227,prime)=0,0,IF(SUMPRODUCT((MOD(ROW($A$1:$A$313)^2,prime)=MOD(B227,prime))*(ROW($A$1:$A$313)&lt;prime)*(MOD(ROW($A$1:$A$313),2)=1)*ROW($A$1:$A$313))=0,NA(),SUMPRODUCT((MOD(ROW($A$1:$A$313)^2,prime)=MOD(B227,prime))*(ROW($A$1:$A$313)&lt;prime)*(MOD(ROW($A$1:$A$313),2)=1)*ROW($A$1:$A$313))))</f>
        <v/>
      </c>
      <c r="D227">
        <f>IF(OR(NOT(ISNUMBER(C227)),C227=0),NA(),MOD(prime-C227,prime))</f>
        <v/>
      </c>
    </row>
    <row r="228">
      <c r="A228" t="n">
        <v>220</v>
      </c>
      <c r="B228">
        <f>MOD(A228^3+a*A228+b,prime)</f>
        <v/>
      </c>
      <c r="C228">
        <f>IF(MOD(B228,prime)=0,0,IF(SUMPRODUCT((MOD(ROW($A$1:$A$313)^2,prime)=MOD(B228,prime))*(ROW($A$1:$A$313)&lt;prime)*(MOD(ROW($A$1:$A$313),2)=1)*ROW($A$1:$A$313))=0,NA(),SUMPRODUCT((MOD(ROW($A$1:$A$313)^2,prime)=MOD(B228,prime))*(ROW($A$1:$A$313)&lt;prime)*(MOD(ROW($A$1:$A$313),2)=1)*ROW($A$1:$A$313))))</f>
        <v/>
      </c>
      <c r="D228">
        <f>IF(OR(NOT(ISNUMBER(C228)),C228=0),NA(),MOD(prime-C228,prime))</f>
        <v/>
      </c>
    </row>
    <row r="229">
      <c r="A229" t="n">
        <v>221</v>
      </c>
      <c r="B229">
        <f>MOD(A229^3+a*A229+b,prime)</f>
        <v/>
      </c>
      <c r="C229">
        <f>IF(MOD(B229,prime)=0,0,IF(SUMPRODUCT((MOD(ROW($A$1:$A$313)^2,prime)=MOD(B229,prime))*(ROW($A$1:$A$313)&lt;prime)*(MOD(ROW($A$1:$A$313),2)=1)*ROW($A$1:$A$313))=0,NA(),SUMPRODUCT((MOD(ROW($A$1:$A$313)^2,prime)=MOD(B229,prime))*(ROW($A$1:$A$313)&lt;prime)*(MOD(ROW($A$1:$A$313),2)=1)*ROW($A$1:$A$313))))</f>
        <v/>
      </c>
      <c r="D229">
        <f>IF(OR(NOT(ISNUMBER(C229)),C229=0),NA(),MOD(prime-C229,prime))</f>
        <v/>
      </c>
    </row>
    <row r="230">
      <c r="A230" t="n">
        <v>222</v>
      </c>
      <c r="B230">
        <f>MOD(A230^3+a*A230+b,prime)</f>
        <v/>
      </c>
      <c r="C230">
        <f>IF(MOD(B230,prime)=0,0,IF(SUMPRODUCT((MOD(ROW($A$1:$A$313)^2,prime)=MOD(B230,prime))*(ROW($A$1:$A$313)&lt;prime)*(MOD(ROW($A$1:$A$313),2)=1)*ROW($A$1:$A$313))=0,NA(),SUMPRODUCT((MOD(ROW($A$1:$A$313)^2,prime)=MOD(B230,prime))*(ROW($A$1:$A$313)&lt;prime)*(MOD(ROW($A$1:$A$313),2)=1)*ROW($A$1:$A$313))))</f>
        <v/>
      </c>
      <c r="D230">
        <f>IF(OR(NOT(ISNUMBER(C230)),C230=0),NA(),MOD(prime-C230,prime))</f>
        <v/>
      </c>
    </row>
    <row r="231">
      <c r="A231" t="n">
        <v>223</v>
      </c>
      <c r="B231">
        <f>MOD(A231^3+a*A231+b,prime)</f>
        <v/>
      </c>
      <c r="C231">
        <f>IF(MOD(B231,prime)=0,0,IF(SUMPRODUCT((MOD(ROW($A$1:$A$313)^2,prime)=MOD(B231,prime))*(ROW($A$1:$A$313)&lt;prime)*(MOD(ROW($A$1:$A$313),2)=1)*ROW($A$1:$A$313))=0,NA(),SUMPRODUCT((MOD(ROW($A$1:$A$313)^2,prime)=MOD(B231,prime))*(ROW($A$1:$A$313)&lt;prime)*(MOD(ROW($A$1:$A$313),2)=1)*ROW($A$1:$A$313))))</f>
        <v/>
      </c>
      <c r="D231">
        <f>IF(OR(NOT(ISNUMBER(C231)),C231=0),NA(),MOD(prime-C231,prime))</f>
        <v/>
      </c>
    </row>
    <row r="232">
      <c r="A232" t="n">
        <v>224</v>
      </c>
      <c r="B232">
        <f>MOD(A232^3+a*A232+b,prime)</f>
        <v/>
      </c>
      <c r="C232">
        <f>IF(MOD(B232,prime)=0,0,IF(SUMPRODUCT((MOD(ROW($A$1:$A$313)^2,prime)=MOD(B232,prime))*(ROW($A$1:$A$313)&lt;prime)*(MOD(ROW($A$1:$A$313),2)=1)*ROW($A$1:$A$313))=0,NA(),SUMPRODUCT((MOD(ROW($A$1:$A$313)^2,prime)=MOD(B232,prime))*(ROW($A$1:$A$313)&lt;prime)*(MOD(ROW($A$1:$A$313),2)=1)*ROW($A$1:$A$313))))</f>
        <v/>
      </c>
      <c r="D232">
        <f>IF(OR(NOT(ISNUMBER(C232)),C232=0),NA(),MOD(prime-C232,prime))</f>
        <v/>
      </c>
    </row>
    <row r="233">
      <c r="A233" t="n">
        <v>225</v>
      </c>
      <c r="B233">
        <f>MOD(A233^3+a*A233+b,prime)</f>
        <v/>
      </c>
      <c r="C233">
        <f>IF(MOD(B233,prime)=0,0,IF(SUMPRODUCT((MOD(ROW($A$1:$A$313)^2,prime)=MOD(B233,prime))*(ROW($A$1:$A$313)&lt;prime)*(MOD(ROW($A$1:$A$313),2)=1)*ROW($A$1:$A$313))=0,NA(),SUMPRODUCT((MOD(ROW($A$1:$A$313)^2,prime)=MOD(B233,prime))*(ROW($A$1:$A$313)&lt;prime)*(MOD(ROW($A$1:$A$313),2)=1)*ROW($A$1:$A$313))))</f>
        <v/>
      </c>
      <c r="D233">
        <f>IF(OR(NOT(ISNUMBER(C233)),C233=0),NA(),MOD(prime-C233,prime))</f>
        <v/>
      </c>
    </row>
    <row r="234">
      <c r="A234" t="n">
        <v>226</v>
      </c>
      <c r="B234">
        <f>MOD(A234^3+a*A234+b,prime)</f>
        <v/>
      </c>
      <c r="C234">
        <f>IF(MOD(B234,prime)=0,0,IF(SUMPRODUCT((MOD(ROW($A$1:$A$313)^2,prime)=MOD(B234,prime))*(ROW($A$1:$A$313)&lt;prime)*(MOD(ROW($A$1:$A$313),2)=1)*ROW($A$1:$A$313))=0,NA(),SUMPRODUCT((MOD(ROW($A$1:$A$313)^2,prime)=MOD(B234,prime))*(ROW($A$1:$A$313)&lt;prime)*(MOD(ROW($A$1:$A$313),2)=1)*ROW($A$1:$A$313))))</f>
        <v/>
      </c>
      <c r="D234">
        <f>IF(OR(NOT(ISNUMBER(C234)),C234=0),NA(),MOD(prime-C234,prime))</f>
        <v/>
      </c>
    </row>
    <row r="235">
      <c r="A235" t="n">
        <v>227</v>
      </c>
      <c r="B235">
        <f>MOD(A235^3+a*A235+b,prime)</f>
        <v/>
      </c>
      <c r="C235">
        <f>IF(MOD(B235,prime)=0,0,IF(SUMPRODUCT((MOD(ROW($A$1:$A$313)^2,prime)=MOD(B235,prime))*(ROW($A$1:$A$313)&lt;prime)*(MOD(ROW($A$1:$A$313),2)=1)*ROW($A$1:$A$313))=0,NA(),SUMPRODUCT((MOD(ROW($A$1:$A$313)^2,prime)=MOD(B235,prime))*(ROW($A$1:$A$313)&lt;prime)*(MOD(ROW($A$1:$A$313),2)=1)*ROW($A$1:$A$313))))</f>
        <v/>
      </c>
      <c r="D235">
        <f>IF(OR(NOT(ISNUMBER(C235)),C235=0),NA(),MOD(prime-C235,prime))</f>
        <v/>
      </c>
    </row>
    <row r="236">
      <c r="A236" t="n">
        <v>228</v>
      </c>
      <c r="B236">
        <f>MOD(A236^3+a*A236+b,prime)</f>
        <v/>
      </c>
      <c r="C236">
        <f>IF(MOD(B236,prime)=0,0,IF(SUMPRODUCT((MOD(ROW($A$1:$A$313)^2,prime)=MOD(B236,prime))*(ROW($A$1:$A$313)&lt;prime)*(MOD(ROW($A$1:$A$313),2)=1)*ROW($A$1:$A$313))=0,NA(),SUMPRODUCT((MOD(ROW($A$1:$A$313)^2,prime)=MOD(B236,prime))*(ROW($A$1:$A$313)&lt;prime)*(MOD(ROW($A$1:$A$313),2)=1)*ROW($A$1:$A$313))))</f>
        <v/>
      </c>
      <c r="D236">
        <f>IF(OR(NOT(ISNUMBER(C236)),C236=0),NA(),MOD(prime-C236,prime))</f>
        <v/>
      </c>
    </row>
    <row r="237">
      <c r="A237" t="n">
        <v>229</v>
      </c>
      <c r="B237">
        <f>MOD(A237^3+a*A237+b,prime)</f>
        <v/>
      </c>
      <c r="C237">
        <f>IF(MOD(B237,prime)=0,0,IF(SUMPRODUCT((MOD(ROW($A$1:$A$313)^2,prime)=MOD(B237,prime))*(ROW($A$1:$A$313)&lt;prime)*(MOD(ROW($A$1:$A$313),2)=1)*ROW($A$1:$A$313))=0,NA(),SUMPRODUCT((MOD(ROW($A$1:$A$313)^2,prime)=MOD(B237,prime))*(ROW($A$1:$A$313)&lt;prime)*(MOD(ROW($A$1:$A$313),2)=1)*ROW($A$1:$A$313))))</f>
        <v/>
      </c>
      <c r="D237">
        <f>IF(OR(NOT(ISNUMBER(C237)),C237=0),NA(),MOD(prime-C237,prime))</f>
        <v/>
      </c>
    </row>
    <row r="238">
      <c r="A238" t="n">
        <v>230</v>
      </c>
      <c r="B238">
        <f>MOD(A238^3+a*A238+b,prime)</f>
        <v/>
      </c>
      <c r="C238">
        <f>IF(MOD(B238,prime)=0,0,IF(SUMPRODUCT((MOD(ROW($A$1:$A$313)^2,prime)=MOD(B238,prime))*(ROW($A$1:$A$313)&lt;prime)*(MOD(ROW($A$1:$A$313),2)=1)*ROW($A$1:$A$313))=0,NA(),SUMPRODUCT((MOD(ROW($A$1:$A$313)^2,prime)=MOD(B238,prime))*(ROW($A$1:$A$313)&lt;prime)*(MOD(ROW($A$1:$A$313),2)=1)*ROW($A$1:$A$313))))</f>
        <v/>
      </c>
      <c r="D238">
        <f>IF(OR(NOT(ISNUMBER(C238)),C238=0),NA(),MOD(prime-C238,prime))</f>
        <v/>
      </c>
    </row>
    <row r="239">
      <c r="A239" t="n">
        <v>231</v>
      </c>
      <c r="B239">
        <f>MOD(A239^3+a*A239+b,prime)</f>
        <v/>
      </c>
      <c r="C239">
        <f>IF(MOD(B239,prime)=0,0,IF(SUMPRODUCT((MOD(ROW($A$1:$A$313)^2,prime)=MOD(B239,prime))*(ROW($A$1:$A$313)&lt;prime)*(MOD(ROW($A$1:$A$313),2)=1)*ROW($A$1:$A$313))=0,NA(),SUMPRODUCT((MOD(ROW($A$1:$A$313)^2,prime)=MOD(B239,prime))*(ROW($A$1:$A$313)&lt;prime)*(MOD(ROW($A$1:$A$313),2)=1)*ROW($A$1:$A$313))))</f>
        <v/>
      </c>
      <c r="D239">
        <f>IF(OR(NOT(ISNUMBER(C239)),C239=0),NA(),MOD(prime-C239,prime))</f>
        <v/>
      </c>
    </row>
    <row r="240">
      <c r="A240" t="n">
        <v>232</v>
      </c>
      <c r="B240">
        <f>MOD(A240^3+a*A240+b,prime)</f>
        <v/>
      </c>
      <c r="C240">
        <f>IF(MOD(B240,prime)=0,0,IF(SUMPRODUCT((MOD(ROW($A$1:$A$313)^2,prime)=MOD(B240,prime))*(ROW($A$1:$A$313)&lt;prime)*(MOD(ROW($A$1:$A$313),2)=1)*ROW($A$1:$A$313))=0,NA(),SUMPRODUCT((MOD(ROW($A$1:$A$313)^2,prime)=MOD(B240,prime))*(ROW($A$1:$A$313)&lt;prime)*(MOD(ROW($A$1:$A$313),2)=1)*ROW($A$1:$A$313))))</f>
        <v/>
      </c>
      <c r="D240">
        <f>IF(OR(NOT(ISNUMBER(C240)),C240=0),NA(),MOD(prime-C240,prime))</f>
        <v/>
      </c>
    </row>
    <row r="241">
      <c r="A241" t="n">
        <v>233</v>
      </c>
      <c r="B241">
        <f>MOD(A241^3+a*A241+b,prime)</f>
        <v/>
      </c>
      <c r="C241">
        <f>IF(MOD(B241,prime)=0,0,IF(SUMPRODUCT((MOD(ROW($A$1:$A$313)^2,prime)=MOD(B241,prime))*(ROW($A$1:$A$313)&lt;prime)*(MOD(ROW($A$1:$A$313),2)=1)*ROW($A$1:$A$313))=0,NA(),SUMPRODUCT((MOD(ROW($A$1:$A$313)^2,prime)=MOD(B241,prime))*(ROW($A$1:$A$313)&lt;prime)*(MOD(ROW($A$1:$A$313),2)=1)*ROW($A$1:$A$313))))</f>
        <v/>
      </c>
      <c r="D241">
        <f>IF(OR(NOT(ISNUMBER(C241)),C241=0),NA(),MOD(prime-C241,prime))</f>
        <v/>
      </c>
    </row>
    <row r="242">
      <c r="A242" t="n">
        <v>234</v>
      </c>
      <c r="B242">
        <f>MOD(A242^3+a*A242+b,prime)</f>
        <v/>
      </c>
      <c r="C242">
        <f>IF(MOD(B242,prime)=0,0,IF(SUMPRODUCT((MOD(ROW($A$1:$A$313)^2,prime)=MOD(B242,prime))*(ROW($A$1:$A$313)&lt;prime)*(MOD(ROW($A$1:$A$313),2)=1)*ROW($A$1:$A$313))=0,NA(),SUMPRODUCT((MOD(ROW($A$1:$A$313)^2,prime)=MOD(B242,prime))*(ROW($A$1:$A$313)&lt;prime)*(MOD(ROW($A$1:$A$313),2)=1)*ROW($A$1:$A$313))))</f>
        <v/>
      </c>
      <c r="D242">
        <f>IF(OR(NOT(ISNUMBER(C242)),C242=0),NA(),MOD(prime-C242,prime))</f>
        <v/>
      </c>
    </row>
    <row r="243">
      <c r="A243" t="n">
        <v>235</v>
      </c>
      <c r="B243">
        <f>MOD(A243^3+a*A243+b,prime)</f>
        <v/>
      </c>
      <c r="C243">
        <f>IF(MOD(B243,prime)=0,0,IF(SUMPRODUCT((MOD(ROW($A$1:$A$313)^2,prime)=MOD(B243,prime))*(ROW($A$1:$A$313)&lt;prime)*(MOD(ROW($A$1:$A$313),2)=1)*ROW($A$1:$A$313))=0,NA(),SUMPRODUCT((MOD(ROW($A$1:$A$313)^2,prime)=MOD(B243,prime))*(ROW($A$1:$A$313)&lt;prime)*(MOD(ROW($A$1:$A$313),2)=1)*ROW($A$1:$A$313))))</f>
        <v/>
      </c>
      <c r="D243">
        <f>IF(OR(NOT(ISNUMBER(C243)),C243=0),NA(),MOD(prime-C243,prime))</f>
        <v/>
      </c>
    </row>
    <row r="244">
      <c r="A244" t="n">
        <v>236</v>
      </c>
      <c r="B244">
        <f>MOD(A244^3+a*A244+b,prime)</f>
        <v/>
      </c>
      <c r="C244">
        <f>IF(MOD(B244,prime)=0,0,IF(SUMPRODUCT((MOD(ROW($A$1:$A$313)^2,prime)=MOD(B244,prime))*(ROW($A$1:$A$313)&lt;prime)*(MOD(ROW($A$1:$A$313),2)=1)*ROW($A$1:$A$313))=0,NA(),SUMPRODUCT((MOD(ROW($A$1:$A$313)^2,prime)=MOD(B244,prime))*(ROW($A$1:$A$313)&lt;prime)*(MOD(ROW($A$1:$A$313),2)=1)*ROW($A$1:$A$313))))</f>
        <v/>
      </c>
      <c r="D244">
        <f>IF(OR(NOT(ISNUMBER(C244)),C244=0),NA(),MOD(prime-C244,prime))</f>
        <v/>
      </c>
    </row>
    <row r="245">
      <c r="A245" t="n">
        <v>237</v>
      </c>
      <c r="B245">
        <f>MOD(A245^3+a*A245+b,prime)</f>
        <v/>
      </c>
      <c r="C245">
        <f>IF(MOD(B245,prime)=0,0,IF(SUMPRODUCT((MOD(ROW($A$1:$A$313)^2,prime)=MOD(B245,prime))*(ROW($A$1:$A$313)&lt;prime)*(MOD(ROW($A$1:$A$313),2)=1)*ROW($A$1:$A$313))=0,NA(),SUMPRODUCT((MOD(ROW($A$1:$A$313)^2,prime)=MOD(B245,prime))*(ROW($A$1:$A$313)&lt;prime)*(MOD(ROW($A$1:$A$313),2)=1)*ROW($A$1:$A$313))))</f>
        <v/>
      </c>
      <c r="D245">
        <f>IF(OR(NOT(ISNUMBER(C245)),C245=0),NA(),MOD(prime-C245,prime))</f>
        <v/>
      </c>
    </row>
    <row r="246">
      <c r="A246" t="n">
        <v>238</v>
      </c>
      <c r="B246">
        <f>MOD(A246^3+a*A246+b,prime)</f>
        <v/>
      </c>
      <c r="C246">
        <f>IF(MOD(B246,prime)=0,0,IF(SUMPRODUCT((MOD(ROW($A$1:$A$313)^2,prime)=MOD(B246,prime))*(ROW($A$1:$A$313)&lt;prime)*(MOD(ROW($A$1:$A$313),2)=1)*ROW($A$1:$A$313))=0,NA(),SUMPRODUCT((MOD(ROW($A$1:$A$313)^2,prime)=MOD(B246,prime))*(ROW($A$1:$A$313)&lt;prime)*(MOD(ROW($A$1:$A$313),2)=1)*ROW($A$1:$A$313))))</f>
        <v/>
      </c>
      <c r="D246">
        <f>IF(OR(NOT(ISNUMBER(C246)),C246=0),NA(),MOD(prime-C246,prime))</f>
        <v/>
      </c>
    </row>
    <row r="247">
      <c r="A247" t="n">
        <v>239</v>
      </c>
      <c r="B247">
        <f>MOD(A247^3+a*A247+b,prime)</f>
        <v/>
      </c>
      <c r="C247">
        <f>IF(MOD(B247,prime)=0,0,IF(SUMPRODUCT((MOD(ROW($A$1:$A$313)^2,prime)=MOD(B247,prime))*(ROW($A$1:$A$313)&lt;prime)*(MOD(ROW($A$1:$A$313),2)=1)*ROW($A$1:$A$313))=0,NA(),SUMPRODUCT((MOD(ROW($A$1:$A$313)^2,prime)=MOD(B247,prime))*(ROW($A$1:$A$313)&lt;prime)*(MOD(ROW($A$1:$A$313),2)=1)*ROW($A$1:$A$313))))</f>
        <v/>
      </c>
      <c r="D247">
        <f>IF(OR(NOT(ISNUMBER(C247)),C247=0),NA(),MOD(prime-C247,prime))</f>
        <v/>
      </c>
    </row>
    <row r="248">
      <c r="A248" t="n">
        <v>240</v>
      </c>
      <c r="B248">
        <f>MOD(A248^3+a*A248+b,prime)</f>
        <v/>
      </c>
      <c r="C248">
        <f>IF(MOD(B248,prime)=0,0,IF(SUMPRODUCT((MOD(ROW($A$1:$A$313)^2,prime)=MOD(B248,prime))*(ROW($A$1:$A$313)&lt;prime)*(MOD(ROW($A$1:$A$313),2)=1)*ROW($A$1:$A$313))=0,NA(),SUMPRODUCT((MOD(ROW($A$1:$A$313)^2,prime)=MOD(B248,prime))*(ROW($A$1:$A$313)&lt;prime)*(MOD(ROW($A$1:$A$313),2)=1)*ROW($A$1:$A$313))))</f>
        <v/>
      </c>
      <c r="D248">
        <f>IF(OR(NOT(ISNUMBER(C248)),C248=0),NA(),MOD(prime-C248,prime))</f>
        <v/>
      </c>
    </row>
    <row r="249">
      <c r="A249" t="n">
        <v>241</v>
      </c>
      <c r="B249">
        <f>MOD(A249^3+a*A249+b,prime)</f>
        <v/>
      </c>
      <c r="C249">
        <f>IF(MOD(B249,prime)=0,0,IF(SUMPRODUCT((MOD(ROW($A$1:$A$313)^2,prime)=MOD(B249,prime))*(ROW($A$1:$A$313)&lt;prime)*(MOD(ROW($A$1:$A$313),2)=1)*ROW($A$1:$A$313))=0,NA(),SUMPRODUCT((MOD(ROW($A$1:$A$313)^2,prime)=MOD(B249,prime))*(ROW($A$1:$A$313)&lt;prime)*(MOD(ROW($A$1:$A$313),2)=1)*ROW($A$1:$A$313))))</f>
        <v/>
      </c>
      <c r="D249">
        <f>IF(OR(NOT(ISNUMBER(C249)),C249=0),NA(),MOD(prime-C249,prime))</f>
        <v/>
      </c>
    </row>
    <row r="250">
      <c r="A250" t="n">
        <v>242</v>
      </c>
      <c r="B250">
        <f>MOD(A250^3+a*A250+b,prime)</f>
        <v/>
      </c>
      <c r="C250">
        <f>IF(MOD(B250,prime)=0,0,IF(SUMPRODUCT((MOD(ROW($A$1:$A$313)^2,prime)=MOD(B250,prime))*(ROW($A$1:$A$313)&lt;prime)*(MOD(ROW($A$1:$A$313),2)=1)*ROW($A$1:$A$313))=0,NA(),SUMPRODUCT((MOD(ROW($A$1:$A$313)^2,prime)=MOD(B250,prime))*(ROW($A$1:$A$313)&lt;prime)*(MOD(ROW($A$1:$A$313),2)=1)*ROW($A$1:$A$313))))</f>
        <v/>
      </c>
      <c r="D250">
        <f>IF(OR(NOT(ISNUMBER(C250)),C250=0),NA(),MOD(prime-C250,prime))</f>
        <v/>
      </c>
    </row>
    <row r="251">
      <c r="A251" t="n">
        <v>243</v>
      </c>
      <c r="B251">
        <f>MOD(A251^3+a*A251+b,prime)</f>
        <v/>
      </c>
      <c r="C251">
        <f>IF(MOD(B251,prime)=0,0,IF(SUMPRODUCT((MOD(ROW($A$1:$A$313)^2,prime)=MOD(B251,prime))*(ROW($A$1:$A$313)&lt;prime)*(MOD(ROW($A$1:$A$313),2)=1)*ROW($A$1:$A$313))=0,NA(),SUMPRODUCT((MOD(ROW($A$1:$A$313)^2,prime)=MOD(B251,prime))*(ROW($A$1:$A$313)&lt;prime)*(MOD(ROW($A$1:$A$313),2)=1)*ROW($A$1:$A$313))))</f>
        <v/>
      </c>
      <c r="D251">
        <f>IF(OR(NOT(ISNUMBER(C251)),C251=0),NA(),MOD(prime-C251,prime))</f>
        <v/>
      </c>
    </row>
    <row r="252">
      <c r="A252" t="n">
        <v>244</v>
      </c>
      <c r="B252">
        <f>MOD(A252^3+a*A252+b,prime)</f>
        <v/>
      </c>
      <c r="C252">
        <f>IF(MOD(B252,prime)=0,0,IF(SUMPRODUCT((MOD(ROW($A$1:$A$313)^2,prime)=MOD(B252,prime))*(ROW($A$1:$A$313)&lt;prime)*(MOD(ROW($A$1:$A$313),2)=1)*ROW($A$1:$A$313))=0,NA(),SUMPRODUCT((MOD(ROW($A$1:$A$313)^2,prime)=MOD(B252,prime))*(ROW($A$1:$A$313)&lt;prime)*(MOD(ROW($A$1:$A$313),2)=1)*ROW($A$1:$A$313))))</f>
        <v/>
      </c>
      <c r="D252">
        <f>IF(OR(NOT(ISNUMBER(C252)),C252=0),NA(),MOD(prime-C252,prime))</f>
        <v/>
      </c>
    </row>
    <row r="253">
      <c r="A253" t="n">
        <v>245</v>
      </c>
      <c r="B253">
        <f>MOD(A253^3+a*A253+b,prime)</f>
        <v/>
      </c>
      <c r="C253">
        <f>IF(MOD(B253,prime)=0,0,IF(SUMPRODUCT((MOD(ROW($A$1:$A$313)^2,prime)=MOD(B253,prime))*(ROW($A$1:$A$313)&lt;prime)*(MOD(ROW($A$1:$A$313),2)=1)*ROW($A$1:$A$313))=0,NA(),SUMPRODUCT((MOD(ROW($A$1:$A$313)^2,prime)=MOD(B253,prime))*(ROW($A$1:$A$313)&lt;prime)*(MOD(ROW($A$1:$A$313),2)=1)*ROW($A$1:$A$313))))</f>
        <v/>
      </c>
      <c r="D253">
        <f>IF(OR(NOT(ISNUMBER(C253)),C253=0),NA(),MOD(prime-C253,prime))</f>
        <v/>
      </c>
    </row>
    <row r="254">
      <c r="A254" t="n">
        <v>246</v>
      </c>
      <c r="B254">
        <f>MOD(A254^3+a*A254+b,prime)</f>
        <v/>
      </c>
      <c r="C254">
        <f>IF(MOD(B254,prime)=0,0,IF(SUMPRODUCT((MOD(ROW($A$1:$A$313)^2,prime)=MOD(B254,prime))*(ROW($A$1:$A$313)&lt;prime)*(MOD(ROW($A$1:$A$313),2)=1)*ROW($A$1:$A$313))=0,NA(),SUMPRODUCT((MOD(ROW($A$1:$A$313)^2,prime)=MOD(B254,prime))*(ROW($A$1:$A$313)&lt;prime)*(MOD(ROW($A$1:$A$313),2)=1)*ROW($A$1:$A$313))))</f>
        <v/>
      </c>
      <c r="D254">
        <f>IF(OR(NOT(ISNUMBER(C254)),C254=0),NA(),MOD(prime-C254,prime))</f>
        <v/>
      </c>
    </row>
    <row r="255">
      <c r="A255" t="n">
        <v>247</v>
      </c>
      <c r="B255">
        <f>MOD(A255^3+a*A255+b,prime)</f>
        <v/>
      </c>
      <c r="C255">
        <f>IF(MOD(B255,prime)=0,0,IF(SUMPRODUCT((MOD(ROW($A$1:$A$313)^2,prime)=MOD(B255,prime))*(ROW($A$1:$A$313)&lt;prime)*(MOD(ROW($A$1:$A$313),2)=1)*ROW($A$1:$A$313))=0,NA(),SUMPRODUCT((MOD(ROW($A$1:$A$313)^2,prime)=MOD(B255,prime))*(ROW($A$1:$A$313)&lt;prime)*(MOD(ROW($A$1:$A$313),2)=1)*ROW($A$1:$A$313))))</f>
        <v/>
      </c>
      <c r="D255">
        <f>IF(OR(NOT(ISNUMBER(C255)),C255=0),NA(),MOD(prime-C255,prime))</f>
        <v/>
      </c>
    </row>
    <row r="256">
      <c r="A256" t="n">
        <v>248</v>
      </c>
      <c r="B256">
        <f>MOD(A256^3+a*A256+b,prime)</f>
        <v/>
      </c>
      <c r="C256">
        <f>IF(MOD(B256,prime)=0,0,IF(SUMPRODUCT((MOD(ROW($A$1:$A$313)^2,prime)=MOD(B256,prime))*(ROW($A$1:$A$313)&lt;prime)*(MOD(ROW($A$1:$A$313),2)=1)*ROW($A$1:$A$313))=0,NA(),SUMPRODUCT((MOD(ROW($A$1:$A$313)^2,prime)=MOD(B256,prime))*(ROW($A$1:$A$313)&lt;prime)*(MOD(ROW($A$1:$A$313),2)=1)*ROW($A$1:$A$313))))</f>
        <v/>
      </c>
      <c r="D256">
        <f>IF(OR(NOT(ISNUMBER(C256)),C256=0),NA(),MOD(prime-C256,prime))</f>
        <v/>
      </c>
    </row>
    <row r="257">
      <c r="A257" t="n">
        <v>249</v>
      </c>
      <c r="B257">
        <f>MOD(A257^3+a*A257+b,prime)</f>
        <v/>
      </c>
      <c r="C257">
        <f>IF(MOD(B257,prime)=0,0,IF(SUMPRODUCT((MOD(ROW($A$1:$A$313)^2,prime)=MOD(B257,prime))*(ROW($A$1:$A$313)&lt;prime)*(MOD(ROW($A$1:$A$313),2)=1)*ROW($A$1:$A$313))=0,NA(),SUMPRODUCT((MOD(ROW($A$1:$A$313)^2,prime)=MOD(B257,prime))*(ROW($A$1:$A$313)&lt;prime)*(MOD(ROW($A$1:$A$313),2)=1)*ROW($A$1:$A$313))))</f>
        <v/>
      </c>
      <c r="D257">
        <f>IF(OR(NOT(ISNUMBER(C257)),C257=0),NA(),MOD(prime-C257,prime))</f>
        <v/>
      </c>
    </row>
    <row r="258">
      <c r="A258" t="n">
        <v>250</v>
      </c>
      <c r="B258">
        <f>MOD(A258^3+a*A258+b,prime)</f>
        <v/>
      </c>
      <c r="C258">
        <f>IF(MOD(B258,prime)=0,0,IF(SUMPRODUCT((MOD(ROW($A$1:$A$313)^2,prime)=MOD(B258,prime))*(ROW($A$1:$A$313)&lt;prime)*(MOD(ROW($A$1:$A$313),2)=1)*ROW($A$1:$A$313))=0,NA(),SUMPRODUCT((MOD(ROW($A$1:$A$313)^2,prime)=MOD(B258,prime))*(ROW($A$1:$A$313)&lt;prime)*(MOD(ROW($A$1:$A$313),2)=1)*ROW($A$1:$A$313))))</f>
        <v/>
      </c>
      <c r="D258">
        <f>IF(OR(NOT(ISNUMBER(C258)),C258=0),NA(),MOD(prime-C258,prime))</f>
        <v/>
      </c>
    </row>
    <row r="259">
      <c r="A259" t="n">
        <v>251</v>
      </c>
      <c r="B259">
        <f>MOD(A259^3+a*A259+b,prime)</f>
        <v/>
      </c>
      <c r="C259">
        <f>IF(MOD(B259,prime)=0,0,IF(SUMPRODUCT((MOD(ROW($A$1:$A$313)^2,prime)=MOD(B259,prime))*(ROW($A$1:$A$313)&lt;prime)*(MOD(ROW($A$1:$A$313),2)=1)*ROW($A$1:$A$313))=0,NA(),SUMPRODUCT((MOD(ROW($A$1:$A$313)^2,prime)=MOD(B259,prime))*(ROW($A$1:$A$313)&lt;prime)*(MOD(ROW($A$1:$A$313),2)=1)*ROW($A$1:$A$313))))</f>
        <v/>
      </c>
      <c r="D259">
        <f>IF(OR(NOT(ISNUMBER(C259)),C259=0),NA(),MOD(prime-C259,prime))</f>
        <v/>
      </c>
    </row>
    <row r="260">
      <c r="A260" t="n">
        <v>252</v>
      </c>
      <c r="B260">
        <f>MOD(A260^3+a*A260+b,prime)</f>
        <v/>
      </c>
      <c r="C260">
        <f>IF(MOD(B260,prime)=0,0,IF(SUMPRODUCT((MOD(ROW($A$1:$A$313)^2,prime)=MOD(B260,prime))*(ROW($A$1:$A$313)&lt;prime)*(MOD(ROW($A$1:$A$313),2)=1)*ROW($A$1:$A$313))=0,NA(),SUMPRODUCT((MOD(ROW($A$1:$A$313)^2,prime)=MOD(B260,prime))*(ROW($A$1:$A$313)&lt;prime)*(MOD(ROW($A$1:$A$313),2)=1)*ROW($A$1:$A$313))))</f>
        <v/>
      </c>
      <c r="D260">
        <f>IF(OR(NOT(ISNUMBER(C260)),C260=0),NA(),MOD(prime-C260,prime))</f>
        <v/>
      </c>
    </row>
    <row r="261">
      <c r="A261" t="n">
        <v>253</v>
      </c>
      <c r="B261">
        <f>MOD(A261^3+a*A261+b,prime)</f>
        <v/>
      </c>
      <c r="C261">
        <f>IF(MOD(B261,prime)=0,0,IF(SUMPRODUCT((MOD(ROW($A$1:$A$313)^2,prime)=MOD(B261,prime))*(ROW($A$1:$A$313)&lt;prime)*(MOD(ROW($A$1:$A$313),2)=1)*ROW($A$1:$A$313))=0,NA(),SUMPRODUCT((MOD(ROW($A$1:$A$313)^2,prime)=MOD(B261,prime))*(ROW($A$1:$A$313)&lt;prime)*(MOD(ROW($A$1:$A$313),2)=1)*ROW($A$1:$A$313))))</f>
        <v/>
      </c>
      <c r="D261">
        <f>IF(OR(NOT(ISNUMBER(C261)),C261=0),NA(),MOD(prime-C261,prime))</f>
        <v/>
      </c>
    </row>
    <row r="262">
      <c r="A262" t="n">
        <v>254</v>
      </c>
      <c r="B262">
        <f>MOD(A262^3+a*A262+b,prime)</f>
        <v/>
      </c>
      <c r="C262">
        <f>IF(MOD(B262,prime)=0,0,IF(SUMPRODUCT((MOD(ROW($A$1:$A$313)^2,prime)=MOD(B262,prime))*(ROW($A$1:$A$313)&lt;prime)*(MOD(ROW($A$1:$A$313),2)=1)*ROW($A$1:$A$313))=0,NA(),SUMPRODUCT((MOD(ROW($A$1:$A$313)^2,prime)=MOD(B262,prime))*(ROW($A$1:$A$313)&lt;prime)*(MOD(ROW($A$1:$A$313),2)=1)*ROW($A$1:$A$313))))</f>
        <v/>
      </c>
      <c r="D262">
        <f>IF(OR(NOT(ISNUMBER(C262)),C262=0),NA(),MOD(prime-C262,prime))</f>
        <v/>
      </c>
    </row>
    <row r="263">
      <c r="A263" t="n">
        <v>255</v>
      </c>
      <c r="B263">
        <f>MOD(A263^3+a*A263+b,prime)</f>
        <v/>
      </c>
      <c r="C263">
        <f>IF(MOD(B263,prime)=0,0,IF(SUMPRODUCT((MOD(ROW($A$1:$A$313)^2,prime)=MOD(B263,prime))*(ROW($A$1:$A$313)&lt;prime)*(MOD(ROW($A$1:$A$313),2)=1)*ROW($A$1:$A$313))=0,NA(),SUMPRODUCT((MOD(ROW($A$1:$A$313)^2,prime)=MOD(B263,prime))*(ROW($A$1:$A$313)&lt;prime)*(MOD(ROW($A$1:$A$313),2)=1)*ROW($A$1:$A$313))))</f>
        <v/>
      </c>
      <c r="D263">
        <f>IF(OR(NOT(ISNUMBER(C263)),C263=0),NA(),MOD(prime-C263,prime))</f>
        <v/>
      </c>
    </row>
    <row r="264">
      <c r="A264" t="n">
        <v>256</v>
      </c>
      <c r="B264">
        <f>MOD(A264^3+a*A264+b,prime)</f>
        <v/>
      </c>
      <c r="C264">
        <f>IF(MOD(B264,prime)=0,0,IF(SUMPRODUCT((MOD(ROW($A$1:$A$313)^2,prime)=MOD(B264,prime))*(ROW($A$1:$A$313)&lt;prime)*(MOD(ROW($A$1:$A$313),2)=1)*ROW($A$1:$A$313))=0,NA(),SUMPRODUCT((MOD(ROW($A$1:$A$313)^2,prime)=MOD(B264,prime))*(ROW($A$1:$A$313)&lt;prime)*(MOD(ROW($A$1:$A$313),2)=1)*ROW($A$1:$A$313))))</f>
        <v/>
      </c>
      <c r="D264">
        <f>IF(OR(NOT(ISNUMBER(C264)),C264=0),NA(),MOD(prime-C264,prime))</f>
        <v/>
      </c>
    </row>
    <row r="265">
      <c r="A265" t="n">
        <v>257</v>
      </c>
      <c r="B265">
        <f>MOD(A265^3+a*A265+b,prime)</f>
        <v/>
      </c>
      <c r="C265">
        <f>IF(MOD(B265,prime)=0,0,IF(SUMPRODUCT((MOD(ROW($A$1:$A$313)^2,prime)=MOD(B265,prime))*(ROW($A$1:$A$313)&lt;prime)*(MOD(ROW($A$1:$A$313),2)=1)*ROW($A$1:$A$313))=0,NA(),SUMPRODUCT((MOD(ROW($A$1:$A$313)^2,prime)=MOD(B265,prime))*(ROW($A$1:$A$313)&lt;prime)*(MOD(ROW($A$1:$A$313),2)=1)*ROW($A$1:$A$313))))</f>
        <v/>
      </c>
      <c r="D265">
        <f>IF(OR(NOT(ISNUMBER(C265)),C265=0),NA(),MOD(prime-C265,prime))</f>
        <v/>
      </c>
    </row>
    <row r="266">
      <c r="A266" t="n">
        <v>258</v>
      </c>
      <c r="B266">
        <f>MOD(A266^3+a*A266+b,prime)</f>
        <v/>
      </c>
      <c r="C266">
        <f>IF(MOD(B266,prime)=0,0,IF(SUMPRODUCT((MOD(ROW($A$1:$A$313)^2,prime)=MOD(B266,prime))*(ROW($A$1:$A$313)&lt;prime)*(MOD(ROW($A$1:$A$313),2)=1)*ROW($A$1:$A$313))=0,NA(),SUMPRODUCT((MOD(ROW($A$1:$A$313)^2,prime)=MOD(B266,prime))*(ROW($A$1:$A$313)&lt;prime)*(MOD(ROW($A$1:$A$313),2)=1)*ROW($A$1:$A$313))))</f>
        <v/>
      </c>
      <c r="D266">
        <f>IF(OR(NOT(ISNUMBER(C266)),C266=0),NA(),MOD(prime-C266,prime))</f>
        <v/>
      </c>
    </row>
    <row r="267">
      <c r="A267" t="n">
        <v>259</v>
      </c>
      <c r="B267">
        <f>MOD(A267^3+a*A267+b,prime)</f>
        <v/>
      </c>
      <c r="C267">
        <f>IF(MOD(B267,prime)=0,0,IF(SUMPRODUCT((MOD(ROW($A$1:$A$313)^2,prime)=MOD(B267,prime))*(ROW($A$1:$A$313)&lt;prime)*(MOD(ROW($A$1:$A$313),2)=1)*ROW($A$1:$A$313))=0,NA(),SUMPRODUCT((MOD(ROW($A$1:$A$313)^2,prime)=MOD(B267,prime))*(ROW($A$1:$A$313)&lt;prime)*(MOD(ROW($A$1:$A$313),2)=1)*ROW($A$1:$A$313))))</f>
        <v/>
      </c>
      <c r="D267">
        <f>IF(OR(NOT(ISNUMBER(C267)),C267=0),NA(),MOD(prime-C267,prime))</f>
        <v/>
      </c>
    </row>
    <row r="268">
      <c r="A268" t="n">
        <v>260</v>
      </c>
      <c r="B268">
        <f>MOD(A268^3+a*A268+b,prime)</f>
        <v/>
      </c>
      <c r="C268">
        <f>IF(MOD(B268,prime)=0,0,IF(SUMPRODUCT((MOD(ROW($A$1:$A$313)^2,prime)=MOD(B268,prime))*(ROW($A$1:$A$313)&lt;prime)*(MOD(ROW($A$1:$A$313),2)=1)*ROW($A$1:$A$313))=0,NA(),SUMPRODUCT((MOD(ROW($A$1:$A$313)^2,prime)=MOD(B268,prime))*(ROW($A$1:$A$313)&lt;prime)*(MOD(ROW($A$1:$A$313),2)=1)*ROW($A$1:$A$313))))</f>
        <v/>
      </c>
      <c r="D268">
        <f>IF(OR(NOT(ISNUMBER(C268)),C268=0),NA(),MOD(prime-C268,prime))</f>
        <v/>
      </c>
    </row>
    <row r="269">
      <c r="A269" t="n">
        <v>261</v>
      </c>
      <c r="B269">
        <f>MOD(A269^3+a*A269+b,prime)</f>
        <v/>
      </c>
      <c r="C269">
        <f>IF(MOD(B269,prime)=0,0,IF(SUMPRODUCT((MOD(ROW($A$1:$A$313)^2,prime)=MOD(B269,prime))*(ROW($A$1:$A$313)&lt;prime)*(MOD(ROW($A$1:$A$313),2)=1)*ROW($A$1:$A$313))=0,NA(),SUMPRODUCT((MOD(ROW($A$1:$A$313)^2,prime)=MOD(B269,prime))*(ROW($A$1:$A$313)&lt;prime)*(MOD(ROW($A$1:$A$313),2)=1)*ROW($A$1:$A$313))))</f>
        <v/>
      </c>
      <c r="D269">
        <f>IF(OR(NOT(ISNUMBER(C269)),C269=0),NA(),MOD(prime-C269,prime))</f>
        <v/>
      </c>
    </row>
    <row r="270">
      <c r="A270" t="n">
        <v>262</v>
      </c>
      <c r="B270">
        <f>MOD(A270^3+a*A270+b,prime)</f>
        <v/>
      </c>
      <c r="C270">
        <f>IF(MOD(B270,prime)=0,0,IF(SUMPRODUCT((MOD(ROW($A$1:$A$313)^2,prime)=MOD(B270,prime))*(ROW($A$1:$A$313)&lt;prime)*(MOD(ROW($A$1:$A$313),2)=1)*ROW($A$1:$A$313))=0,NA(),SUMPRODUCT((MOD(ROW($A$1:$A$313)^2,prime)=MOD(B270,prime))*(ROW($A$1:$A$313)&lt;prime)*(MOD(ROW($A$1:$A$313),2)=1)*ROW($A$1:$A$313))))</f>
        <v/>
      </c>
      <c r="D270">
        <f>IF(OR(NOT(ISNUMBER(C270)),C270=0),NA(),MOD(prime-C270,prime))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5"/>
  <sheetViews>
    <sheetView workbookViewId="0">
      <selection activeCell="A1" sqref="A1"/>
    </sheetView>
  </sheetViews>
  <sheetFormatPr baseColWidth="8" defaultRowHeight="15"/>
  <cols>
    <col width="7.1640625" customWidth="1" min="1" max="1"/>
    <col width="4.1640625" customWidth="1" min="2" max="2"/>
    <col width="5" customWidth="1" min="3" max="3"/>
    <col width="9" customWidth="1" min="4" max="4"/>
    <col width="14.1640625" customWidth="1" min="5" max="5"/>
    <col width="5" customWidth="1" min="6" max="6"/>
    <col width="4.1640625" customWidth="1" min="7" max="7"/>
    <col width="3.1640625" customWidth="1" min="8" max="8"/>
    <col width="5" customWidth="1" min="9" max="9"/>
    <col width="5" customWidth="1" min="10" max="10"/>
  </cols>
  <sheetData>
    <row r="1">
      <c r="A1" t="inlineStr">
        <is>
          <t>Gx</t>
        </is>
      </c>
      <c r="B1" t="n">
        <v>200</v>
      </c>
      <c r="D1" t="n">
        <v>0</v>
      </c>
      <c r="E1">
        <f>prime/2</f>
        <v/>
      </c>
    </row>
    <row r="2">
      <c r="A2" t="inlineStr">
        <is>
          <t>Gy</t>
        </is>
      </c>
      <c r="B2" t="n">
        <v>39</v>
      </c>
      <c r="D2">
        <f>prime-1</f>
        <v/>
      </c>
      <c r="E2">
        <f>prime/2</f>
        <v/>
      </c>
    </row>
    <row r="3">
      <c r="A3" t="inlineStr">
        <is>
          <t># points</t>
        </is>
      </c>
      <c r="B3">
        <f>COUNT(B6:B275)+1</f>
        <v/>
      </c>
    </row>
    <row r="5">
      <c r="A5" t="inlineStr">
        <is>
          <t>k</t>
        </is>
      </c>
      <c r="B5" t="inlineStr">
        <is>
          <t>x</t>
        </is>
      </c>
      <c r="C5" t="inlineStr">
        <is>
          <t>y</t>
        </is>
      </c>
      <c r="D5" t="inlineStr">
        <is>
          <t>y^2 mod p</t>
        </is>
      </c>
      <c r="E5" t="inlineStr">
        <is>
          <t>x^3+a*x+b mod p</t>
        </is>
      </c>
    </row>
    <row r="6">
      <c r="A6" t="n">
        <v>1</v>
      </c>
      <c r="B6">
        <f>Gx</f>
        <v/>
      </c>
      <c r="C6">
        <f>Gy</f>
        <v/>
      </c>
      <c r="D6">
        <f>MOD(C6*C6,prime)</f>
        <v/>
      </c>
      <c r="E6">
        <f>MOD(B6^3+a*B6+b,prime)</f>
        <v/>
      </c>
      <c r="G6">
        <f>MOD(3*B6*B6+a,prime)</f>
        <v/>
      </c>
      <c r="H6">
        <f>MOD(2*C6,prime)</f>
        <v/>
      </c>
      <c r="I6">
        <f>IF(SUMPRODUCT((MOD(MOD(H6,prime)*ROW($A$1:$A$313),prime)=1)*(ROW($A$1:$A$313)&lt;prime)*ROW($A$1:$A$313))=0,NA(),SUMPRODUCT((MOD(MOD(H6,prime)*ROW($A$1:$A$313),prime)=1)*(ROW($A$1:$A$313)&lt;prime)*ROW($A$1:$A$313)))</f>
        <v/>
      </c>
      <c r="J6">
        <f>MOD(G6*I6,prime)</f>
        <v/>
      </c>
    </row>
    <row r="7">
      <c r="A7" t="n">
        <v>2</v>
      </c>
      <c r="B7">
        <f>MOD(J6*J6-B6-Gx,prime)</f>
        <v/>
      </c>
      <c r="C7">
        <f>MOD(J6*(Gx-B7)-Gy,prime)</f>
        <v/>
      </c>
      <c r="D7">
        <f>MOD(C7*C7,prime)</f>
        <v/>
      </c>
      <c r="E7">
        <f>MOD(B7^3+a*B7+b,prime)</f>
        <v/>
      </c>
      <c r="G7">
        <f>MOD(Gy-C7,prime)</f>
        <v/>
      </c>
      <c r="H7">
        <f>MOD(Gx-B7,prime)</f>
        <v/>
      </c>
      <c r="I7">
        <f>IF(SUMPRODUCT((MOD(MOD(H7,prime)*ROW($A$1:$A$313),prime)=1)*(ROW($A$1:$A$313)&lt;prime)*ROW($A$1:$A$313))=0,NA(),SUMPRODUCT((MOD(MOD(H7,prime)*ROW($A$1:$A$313),prime)=1)*(ROW($A$1:$A$313)&lt;prime)*ROW($A$1:$A$313)))</f>
        <v/>
      </c>
      <c r="J7">
        <f>MOD(G7*I7,prime)</f>
        <v/>
      </c>
    </row>
    <row r="8">
      <c r="A8" t="n">
        <v>3</v>
      </c>
      <c r="B8">
        <f>MOD(J7*J7-B7-Gx,prime)</f>
        <v/>
      </c>
      <c r="C8">
        <f>MOD(J7*(Gx-B8)-Gy,prime)</f>
        <v/>
      </c>
      <c r="D8">
        <f>MOD(C8*C8,prime)</f>
        <v/>
      </c>
      <c r="E8">
        <f>MOD(B8^3+a*B8+b,prime)</f>
        <v/>
      </c>
      <c r="G8">
        <f>MOD(Gy-C8,prime)</f>
        <v/>
      </c>
      <c r="H8">
        <f>MOD(Gx-B8,prime)</f>
        <v/>
      </c>
      <c r="I8">
        <f>IF(SUMPRODUCT((MOD(MOD(H8,prime)*ROW($A$1:$A$313),prime)=1)*(ROW($A$1:$A$313)&lt;prime)*ROW($A$1:$A$313))=0,NA(),SUMPRODUCT((MOD(MOD(H8,prime)*ROW($A$1:$A$313),prime)=1)*(ROW($A$1:$A$313)&lt;prime)*ROW($A$1:$A$313)))</f>
        <v/>
      </c>
      <c r="J8">
        <f>MOD(G8*I8,prime)</f>
        <v/>
      </c>
    </row>
    <row r="9">
      <c r="A9" t="n">
        <v>4</v>
      </c>
      <c r="B9">
        <f>MOD(J8*J8-B8-Gx,prime)</f>
        <v/>
      </c>
      <c r="C9">
        <f>MOD(J8*(Gx-B9)-Gy,prime)</f>
        <v/>
      </c>
      <c r="D9">
        <f>MOD(C9*C9,prime)</f>
        <v/>
      </c>
      <c r="E9">
        <f>MOD(B9^3+a*B9+b,prime)</f>
        <v/>
      </c>
      <c r="G9">
        <f>MOD(Gy-C9,prime)</f>
        <v/>
      </c>
      <c r="H9">
        <f>MOD(Gx-B9,prime)</f>
        <v/>
      </c>
      <c r="I9">
        <f>IF(SUMPRODUCT((MOD(MOD(H9,prime)*ROW($A$1:$A$313),prime)=1)*(ROW($A$1:$A$313)&lt;prime)*ROW($A$1:$A$313))=0,NA(),SUMPRODUCT((MOD(MOD(H9,prime)*ROW($A$1:$A$313),prime)=1)*(ROW($A$1:$A$313)&lt;prime)*ROW($A$1:$A$313)))</f>
        <v/>
      </c>
      <c r="J9">
        <f>MOD(G9*I9,prime)</f>
        <v/>
      </c>
    </row>
    <row r="10">
      <c r="A10" t="n">
        <v>5</v>
      </c>
      <c r="B10">
        <f>MOD(J9*J9-B9-Gx,prime)</f>
        <v/>
      </c>
      <c r="C10">
        <f>MOD(J9*(Gx-B10)-Gy,prime)</f>
        <v/>
      </c>
      <c r="D10">
        <f>MOD(C10*C10,prime)</f>
        <v/>
      </c>
      <c r="E10">
        <f>MOD(B10^3+a*B10+b,prime)</f>
        <v/>
      </c>
      <c r="G10">
        <f>MOD(Gy-C10,prime)</f>
        <v/>
      </c>
      <c r="H10">
        <f>MOD(Gx-B10,prime)</f>
        <v/>
      </c>
      <c r="I10">
        <f>IF(SUMPRODUCT((MOD(MOD(H10,prime)*ROW($A$1:$A$313),prime)=1)*(ROW($A$1:$A$313)&lt;prime)*ROW($A$1:$A$313))=0,NA(),SUMPRODUCT((MOD(MOD(H10,prime)*ROW($A$1:$A$313),prime)=1)*(ROW($A$1:$A$313)&lt;prime)*ROW($A$1:$A$313)))</f>
        <v/>
      </c>
      <c r="J10">
        <f>MOD(G10*I10,prime)</f>
        <v/>
      </c>
    </row>
    <row r="11">
      <c r="A11" t="n">
        <v>6</v>
      </c>
      <c r="B11">
        <f>MOD(J10*J10-B10-Gx,prime)</f>
        <v/>
      </c>
      <c r="C11">
        <f>MOD(J10*(Gx-B11)-Gy,prime)</f>
        <v/>
      </c>
      <c r="D11">
        <f>MOD(C11*C11,prime)</f>
        <v/>
      </c>
      <c r="E11">
        <f>MOD(B11^3+a*B11+b,prime)</f>
        <v/>
      </c>
      <c r="G11">
        <f>MOD(Gy-C11,prime)</f>
        <v/>
      </c>
      <c r="H11">
        <f>MOD(Gx-B11,prime)</f>
        <v/>
      </c>
      <c r="I11">
        <f>IF(SUMPRODUCT((MOD(MOD(H11,prime)*ROW($A$1:$A$313),prime)=1)*(ROW($A$1:$A$313)&lt;prime)*ROW($A$1:$A$313))=0,NA(),SUMPRODUCT((MOD(MOD(H11,prime)*ROW($A$1:$A$313),prime)=1)*(ROW($A$1:$A$313)&lt;prime)*ROW($A$1:$A$313)))</f>
        <v/>
      </c>
      <c r="J11">
        <f>MOD(G11*I11,prime)</f>
        <v/>
      </c>
    </row>
    <row r="12">
      <c r="A12" t="n">
        <v>7</v>
      </c>
      <c r="B12">
        <f>MOD(J11*J11-B11-Gx,prime)</f>
        <v/>
      </c>
      <c r="C12">
        <f>MOD(J11*(Gx-B12)-Gy,prime)</f>
        <v/>
      </c>
      <c r="D12">
        <f>MOD(C12*C12,prime)</f>
        <v/>
      </c>
      <c r="E12">
        <f>MOD(B12^3+a*B12+b,prime)</f>
        <v/>
      </c>
      <c r="G12">
        <f>MOD(Gy-C12,prime)</f>
        <v/>
      </c>
      <c r="H12">
        <f>MOD(Gx-B12,prime)</f>
        <v/>
      </c>
      <c r="I12">
        <f>IF(SUMPRODUCT((MOD(MOD(H12,prime)*ROW($A$1:$A$313),prime)=1)*(ROW($A$1:$A$313)&lt;prime)*ROW($A$1:$A$313))=0,NA(),SUMPRODUCT((MOD(MOD(H12,prime)*ROW($A$1:$A$313),prime)=1)*(ROW($A$1:$A$313)&lt;prime)*ROW($A$1:$A$313)))</f>
        <v/>
      </c>
      <c r="J12">
        <f>MOD(G12*I12,prime)</f>
        <v/>
      </c>
    </row>
    <row r="13">
      <c r="A13" t="n">
        <v>8</v>
      </c>
      <c r="B13">
        <f>MOD(J12*J12-B12-Gx,prime)</f>
        <v/>
      </c>
      <c r="C13">
        <f>MOD(J12*(Gx-B13)-Gy,prime)</f>
        <v/>
      </c>
      <c r="D13">
        <f>MOD(C13*C13,prime)</f>
        <v/>
      </c>
      <c r="E13">
        <f>MOD(B13^3+a*B13+b,prime)</f>
        <v/>
      </c>
      <c r="G13">
        <f>MOD(Gy-C13,prime)</f>
        <v/>
      </c>
      <c r="H13">
        <f>MOD(Gx-B13,prime)</f>
        <v/>
      </c>
      <c r="I13">
        <f>IF(SUMPRODUCT((MOD(MOD(H13,prime)*ROW($A$1:$A$313),prime)=1)*(ROW($A$1:$A$313)&lt;prime)*ROW($A$1:$A$313))=0,NA(),SUMPRODUCT((MOD(MOD(H13,prime)*ROW($A$1:$A$313),prime)=1)*(ROW($A$1:$A$313)&lt;prime)*ROW($A$1:$A$313)))</f>
        <v/>
      </c>
      <c r="J13">
        <f>MOD(G13*I13,prime)</f>
        <v/>
      </c>
    </row>
    <row r="14">
      <c r="A14" t="n">
        <v>9</v>
      </c>
      <c r="B14">
        <f>MOD(J13*J13-B13-Gx,prime)</f>
        <v/>
      </c>
      <c r="C14">
        <f>MOD(J13*(Gx-B14)-Gy,prime)</f>
        <v/>
      </c>
      <c r="D14">
        <f>MOD(C14*C14,prime)</f>
        <v/>
      </c>
      <c r="E14">
        <f>MOD(B14^3+a*B14+b,prime)</f>
        <v/>
      </c>
      <c r="G14">
        <f>MOD(Gy-C14,prime)</f>
        <v/>
      </c>
      <c r="H14">
        <f>MOD(Gx-B14,prime)</f>
        <v/>
      </c>
      <c r="I14">
        <f>IF(SUMPRODUCT((MOD(MOD(H14,prime)*ROW($A$1:$A$313),prime)=1)*(ROW($A$1:$A$313)&lt;prime)*ROW($A$1:$A$313))=0,NA(),SUMPRODUCT((MOD(MOD(H14,prime)*ROW($A$1:$A$313),prime)=1)*(ROW($A$1:$A$313)&lt;prime)*ROW($A$1:$A$313)))</f>
        <v/>
      </c>
      <c r="J14">
        <f>MOD(G14*I14,prime)</f>
        <v/>
      </c>
    </row>
    <row r="15">
      <c r="A15" t="n">
        <v>10</v>
      </c>
      <c r="B15">
        <f>MOD(J14*J14-B14-Gx,prime)</f>
        <v/>
      </c>
      <c r="C15">
        <f>MOD(J14*(Gx-B15)-Gy,prime)</f>
        <v/>
      </c>
      <c r="D15">
        <f>MOD(C15*C15,prime)</f>
        <v/>
      </c>
      <c r="E15">
        <f>MOD(B15^3+a*B15+b,prime)</f>
        <v/>
      </c>
      <c r="G15">
        <f>MOD(Gy-C15,prime)</f>
        <v/>
      </c>
      <c r="H15">
        <f>MOD(Gx-B15,prime)</f>
        <v/>
      </c>
      <c r="I15">
        <f>IF(SUMPRODUCT((MOD(MOD(H15,prime)*ROW($A$1:$A$313),prime)=1)*(ROW($A$1:$A$313)&lt;prime)*ROW($A$1:$A$313))=0,NA(),SUMPRODUCT((MOD(MOD(H15,prime)*ROW($A$1:$A$313),prime)=1)*(ROW($A$1:$A$313)&lt;prime)*ROW($A$1:$A$313)))</f>
        <v/>
      </c>
      <c r="J15">
        <f>MOD(G15*I15,prime)</f>
        <v/>
      </c>
    </row>
    <row r="16">
      <c r="A16" t="n">
        <v>11</v>
      </c>
      <c r="B16">
        <f>MOD(J15*J15-B15-Gx,prime)</f>
        <v/>
      </c>
      <c r="C16">
        <f>MOD(J15*(Gx-B16)-Gy,prime)</f>
        <v/>
      </c>
      <c r="D16">
        <f>MOD(C16*C16,prime)</f>
        <v/>
      </c>
      <c r="E16">
        <f>MOD(B16^3+a*B16+b,prime)</f>
        <v/>
      </c>
      <c r="G16">
        <f>MOD(Gy-C16,prime)</f>
        <v/>
      </c>
      <c r="H16">
        <f>MOD(Gx-B16,prime)</f>
        <v/>
      </c>
      <c r="I16">
        <f>IF(SUMPRODUCT((MOD(MOD(H16,prime)*ROW($A$1:$A$313),prime)=1)*(ROW($A$1:$A$313)&lt;prime)*ROW($A$1:$A$313))=0,NA(),SUMPRODUCT((MOD(MOD(H16,prime)*ROW($A$1:$A$313),prime)=1)*(ROW($A$1:$A$313)&lt;prime)*ROW($A$1:$A$313)))</f>
        <v/>
      </c>
      <c r="J16">
        <f>MOD(G16*I16,prime)</f>
        <v/>
      </c>
    </row>
    <row r="17">
      <c r="A17" t="n">
        <v>12</v>
      </c>
      <c r="B17">
        <f>MOD(J16*J16-B16-Gx,prime)</f>
        <v/>
      </c>
      <c r="C17">
        <f>MOD(J16*(Gx-B17)-Gy,prime)</f>
        <v/>
      </c>
      <c r="D17">
        <f>MOD(C17*C17,prime)</f>
        <v/>
      </c>
      <c r="E17">
        <f>MOD(B17^3+a*B17+b,prime)</f>
        <v/>
      </c>
      <c r="G17">
        <f>MOD(Gy-C17,prime)</f>
        <v/>
      </c>
      <c r="H17">
        <f>MOD(Gx-B17,prime)</f>
        <v/>
      </c>
      <c r="I17">
        <f>IF(SUMPRODUCT((MOD(MOD(H17,prime)*ROW($A$1:$A$313),prime)=1)*(ROW($A$1:$A$313)&lt;prime)*ROW($A$1:$A$313))=0,NA(),SUMPRODUCT((MOD(MOD(H17,prime)*ROW($A$1:$A$313),prime)=1)*(ROW($A$1:$A$313)&lt;prime)*ROW($A$1:$A$313)))</f>
        <v/>
      </c>
      <c r="J17">
        <f>MOD(G17*I17,prime)</f>
        <v/>
      </c>
    </row>
    <row r="18">
      <c r="A18" t="n">
        <v>13</v>
      </c>
      <c r="B18">
        <f>MOD(J17*J17-B17-Gx,prime)</f>
        <v/>
      </c>
      <c r="C18">
        <f>MOD(J17*(Gx-B18)-Gy,prime)</f>
        <v/>
      </c>
      <c r="D18">
        <f>MOD(C18*C18,prime)</f>
        <v/>
      </c>
      <c r="E18">
        <f>MOD(B18^3+a*B18+b,prime)</f>
        <v/>
      </c>
      <c r="G18">
        <f>MOD(Gy-C18,prime)</f>
        <v/>
      </c>
      <c r="H18">
        <f>MOD(Gx-B18,prime)</f>
        <v/>
      </c>
      <c r="I18">
        <f>IF(SUMPRODUCT((MOD(MOD(H18,prime)*ROW($A$1:$A$313),prime)=1)*(ROW($A$1:$A$313)&lt;prime)*ROW($A$1:$A$313))=0,NA(),SUMPRODUCT((MOD(MOD(H18,prime)*ROW($A$1:$A$313),prime)=1)*(ROW($A$1:$A$313)&lt;prime)*ROW($A$1:$A$313)))</f>
        <v/>
      </c>
      <c r="J18">
        <f>MOD(G18*I18,prime)</f>
        <v/>
      </c>
    </row>
    <row r="19">
      <c r="A19" t="n">
        <v>14</v>
      </c>
      <c r="B19">
        <f>MOD(J18*J18-B18-Gx,prime)</f>
        <v/>
      </c>
      <c r="C19">
        <f>MOD(J18*(Gx-B19)-Gy,prime)</f>
        <v/>
      </c>
      <c r="D19">
        <f>MOD(C19*C19,prime)</f>
        <v/>
      </c>
      <c r="E19">
        <f>MOD(B19^3+a*B19+b,prime)</f>
        <v/>
      </c>
      <c r="G19">
        <f>MOD(Gy-C19,prime)</f>
        <v/>
      </c>
      <c r="H19">
        <f>MOD(Gx-B19,prime)</f>
        <v/>
      </c>
      <c r="I19">
        <f>IF(SUMPRODUCT((MOD(MOD(H19,prime)*ROW($A$1:$A$313),prime)=1)*(ROW($A$1:$A$313)&lt;prime)*ROW($A$1:$A$313))=0,NA(),SUMPRODUCT((MOD(MOD(H19,prime)*ROW($A$1:$A$313),prime)=1)*(ROW($A$1:$A$313)&lt;prime)*ROW($A$1:$A$313)))</f>
        <v/>
      </c>
      <c r="J19">
        <f>MOD(G19*I19,prime)</f>
        <v/>
      </c>
    </row>
    <row r="20">
      <c r="A20" t="n">
        <v>15</v>
      </c>
      <c r="B20">
        <f>MOD(J19*J19-B19-Gx,prime)</f>
        <v/>
      </c>
      <c r="C20">
        <f>MOD(J19*(Gx-B20)-Gy,prime)</f>
        <v/>
      </c>
      <c r="D20">
        <f>MOD(C20*C20,prime)</f>
        <v/>
      </c>
      <c r="E20">
        <f>MOD(B20^3+a*B20+b,prime)</f>
        <v/>
      </c>
      <c r="G20">
        <f>MOD(Gy-C20,prime)</f>
        <v/>
      </c>
      <c r="H20">
        <f>MOD(Gx-B20,prime)</f>
        <v/>
      </c>
      <c r="I20">
        <f>IF(SUMPRODUCT((MOD(MOD(H20,prime)*ROW($A$1:$A$313),prime)=1)*(ROW($A$1:$A$313)&lt;prime)*ROW($A$1:$A$313))=0,NA(),SUMPRODUCT((MOD(MOD(H20,prime)*ROW($A$1:$A$313),prime)=1)*(ROW($A$1:$A$313)&lt;prime)*ROW($A$1:$A$313)))</f>
        <v/>
      </c>
      <c r="J20">
        <f>MOD(G20*I20,prime)</f>
        <v/>
      </c>
    </row>
    <row r="21">
      <c r="A21" t="n">
        <v>16</v>
      </c>
      <c r="B21">
        <f>MOD(J20*J20-B20-Gx,prime)</f>
        <v/>
      </c>
      <c r="C21">
        <f>MOD(J20*(Gx-B21)-Gy,prime)</f>
        <v/>
      </c>
      <c r="D21">
        <f>MOD(C21*C21,prime)</f>
        <v/>
      </c>
      <c r="E21">
        <f>MOD(B21^3+a*B21+b,prime)</f>
        <v/>
      </c>
      <c r="G21">
        <f>MOD(Gy-C21,prime)</f>
        <v/>
      </c>
      <c r="H21">
        <f>MOD(Gx-B21,prime)</f>
        <v/>
      </c>
      <c r="I21">
        <f>IF(SUMPRODUCT((MOD(MOD(H21,prime)*ROW($A$1:$A$313),prime)=1)*(ROW($A$1:$A$313)&lt;prime)*ROW($A$1:$A$313))=0,NA(),SUMPRODUCT((MOD(MOD(H21,prime)*ROW($A$1:$A$313),prime)=1)*(ROW($A$1:$A$313)&lt;prime)*ROW($A$1:$A$313)))</f>
        <v/>
      </c>
      <c r="J21">
        <f>MOD(G21*I21,prime)</f>
        <v/>
      </c>
    </row>
    <row r="22">
      <c r="A22" t="n">
        <v>17</v>
      </c>
      <c r="B22">
        <f>MOD(J21*J21-B21-Gx,prime)</f>
        <v/>
      </c>
      <c r="C22">
        <f>MOD(J21*(Gx-B22)-Gy,prime)</f>
        <v/>
      </c>
      <c r="D22">
        <f>MOD(C22*C22,prime)</f>
        <v/>
      </c>
      <c r="E22">
        <f>MOD(B22^3+a*B22+b,prime)</f>
        <v/>
      </c>
      <c r="G22">
        <f>MOD(Gy-C22,prime)</f>
        <v/>
      </c>
      <c r="H22">
        <f>MOD(Gx-B22,prime)</f>
        <v/>
      </c>
      <c r="I22">
        <f>IF(SUMPRODUCT((MOD(MOD(H22,prime)*ROW($A$1:$A$313),prime)=1)*(ROW($A$1:$A$313)&lt;prime)*ROW($A$1:$A$313))=0,NA(),SUMPRODUCT((MOD(MOD(H22,prime)*ROW($A$1:$A$313),prime)=1)*(ROW($A$1:$A$313)&lt;prime)*ROW($A$1:$A$313)))</f>
        <v/>
      </c>
      <c r="J22">
        <f>MOD(G22*I22,prime)</f>
        <v/>
      </c>
    </row>
    <row r="23">
      <c r="A23" t="n">
        <v>18</v>
      </c>
      <c r="B23">
        <f>MOD(J22*J22-B22-Gx,prime)</f>
        <v/>
      </c>
      <c r="C23">
        <f>MOD(J22*(Gx-B23)-Gy,prime)</f>
        <v/>
      </c>
      <c r="D23">
        <f>MOD(C23*C23,prime)</f>
        <v/>
      </c>
      <c r="E23">
        <f>MOD(B23^3+a*B23+b,prime)</f>
        <v/>
      </c>
      <c r="G23">
        <f>MOD(Gy-C23,prime)</f>
        <v/>
      </c>
      <c r="H23">
        <f>MOD(Gx-B23,prime)</f>
        <v/>
      </c>
      <c r="I23">
        <f>IF(SUMPRODUCT((MOD(MOD(H23,prime)*ROW($A$1:$A$313),prime)=1)*(ROW($A$1:$A$313)&lt;prime)*ROW($A$1:$A$313))=0,NA(),SUMPRODUCT((MOD(MOD(H23,prime)*ROW($A$1:$A$313),prime)=1)*(ROW($A$1:$A$313)&lt;prime)*ROW($A$1:$A$313)))</f>
        <v/>
      </c>
      <c r="J23">
        <f>MOD(G23*I23,prime)</f>
        <v/>
      </c>
    </row>
    <row r="24">
      <c r="A24" t="n">
        <v>19</v>
      </c>
      <c r="B24">
        <f>MOD(J23*J23-B23-Gx,prime)</f>
        <v/>
      </c>
      <c r="C24">
        <f>MOD(J23*(Gx-B24)-Gy,prime)</f>
        <v/>
      </c>
      <c r="D24">
        <f>MOD(C24*C24,prime)</f>
        <v/>
      </c>
      <c r="E24">
        <f>MOD(B24^3+a*B24+b,prime)</f>
        <v/>
      </c>
      <c r="G24">
        <f>MOD(Gy-C24,prime)</f>
        <v/>
      </c>
      <c r="H24">
        <f>MOD(Gx-B24,prime)</f>
        <v/>
      </c>
      <c r="I24">
        <f>IF(SUMPRODUCT((MOD(MOD(H24,prime)*ROW($A$1:$A$313),prime)=1)*(ROW($A$1:$A$313)&lt;prime)*ROW($A$1:$A$313))=0,NA(),SUMPRODUCT((MOD(MOD(H24,prime)*ROW($A$1:$A$313),prime)=1)*(ROW($A$1:$A$313)&lt;prime)*ROW($A$1:$A$313)))</f>
        <v/>
      </c>
      <c r="J24">
        <f>MOD(G24*I24,prime)</f>
        <v/>
      </c>
    </row>
    <row r="25">
      <c r="A25" t="n">
        <v>20</v>
      </c>
      <c r="B25">
        <f>MOD(J24*J24-B24-Gx,prime)</f>
        <v/>
      </c>
      <c r="C25">
        <f>MOD(J24*(Gx-B25)-Gy,prime)</f>
        <v/>
      </c>
      <c r="D25">
        <f>MOD(C25*C25,prime)</f>
        <v/>
      </c>
      <c r="E25">
        <f>MOD(B25^3+a*B25+b,prime)</f>
        <v/>
      </c>
      <c r="G25">
        <f>MOD(Gy-C25,prime)</f>
        <v/>
      </c>
      <c r="H25">
        <f>MOD(Gx-B25,prime)</f>
        <v/>
      </c>
      <c r="I25">
        <f>IF(SUMPRODUCT((MOD(MOD(H25,prime)*ROW($A$1:$A$313),prime)=1)*(ROW($A$1:$A$313)&lt;prime)*ROW($A$1:$A$313))=0,NA(),SUMPRODUCT((MOD(MOD(H25,prime)*ROW($A$1:$A$313),prime)=1)*(ROW($A$1:$A$313)&lt;prime)*ROW($A$1:$A$313)))</f>
        <v/>
      </c>
      <c r="J25">
        <f>MOD(G25*I25,prime)</f>
        <v/>
      </c>
    </row>
    <row r="26">
      <c r="A26" t="n">
        <v>21</v>
      </c>
      <c r="B26">
        <f>MOD(J25*J25-B25-Gx,prime)</f>
        <v/>
      </c>
      <c r="C26">
        <f>MOD(J25*(Gx-B26)-Gy,prime)</f>
        <v/>
      </c>
      <c r="D26">
        <f>MOD(C26*C26,prime)</f>
        <v/>
      </c>
      <c r="E26">
        <f>MOD(B26^3+a*B26+b,prime)</f>
        <v/>
      </c>
      <c r="G26">
        <f>MOD(Gy-C26,prime)</f>
        <v/>
      </c>
      <c r="H26">
        <f>MOD(Gx-B26,prime)</f>
        <v/>
      </c>
      <c r="I26">
        <f>IF(SUMPRODUCT((MOD(MOD(H26,prime)*ROW($A$1:$A$313),prime)=1)*(ROW($A$1:$A$313)&lt;prime)*ROW($A$1:$A$313))=0,NA(),SUMPRODUCT((MOD(MOD(H26,prime)*ROW($A$1:$A$313),prime)=1)*(ROW($A$1:$A$313)&lt;prime)*ROW($A$1:$A$313)))</f>
        <v/>
      </c>
      <c r="J26">
        <f>MOD(G26*I26,prime)</f>
        <v/>
      </c>
    </row>
    <row r="27">
      <c r="A27" t="n">
        <v>22</v>
      </c>
      <c r="B27">
        <f>MOD(J26*J26-B26-Gx,prime)</f>
        <v/>
      </c>
      <c r="C27">
        <f>MOD(J26*(Gx-B27)-Gy,prime)</f>
        <v/>
      </c>
      <c r="D27">
        <f>MOD(C27*C27,prime)</f>
        <v/>
      </c>
      <c r="E27">
        <f>MOD(B27^3+a*B27+b,prime)</f>
        <v/>
      </c>
      <c r="G27">
        <f>MOD(Gy-C27,prime)</f>
        <v/>
      </c>
      <c r="H27">
        <f>MOD(Gx-B27,prime)</f>
        <v/>
      </c>
      <c r="I27">
        <f>IF(SUMPRODUCT((MOD(MOD(H27,prime)*ROW($A$1:$A$313),prime)=1)*(ROW($A$1:$A$313)&lt;prime)*ROW($A$1:$A$313))=0,NA(),SUMPRODUCT((MOD(MOD(H27,prime)*ROW($A$1:$A$313),prime)=1)*(ROW($A$1:$A$313)&lt;prime)*ROW($A$1:$A$313)))</f>
        <v/>
      </c>
      <c r="J27">
        <f>MOD(G27*I27,prime)</f>
        <v/>
      </c>
    </row>
    <row r="28">
      <c r="A28" t="n">
        <v>23</v>
      </c>
      <c r="B28">
        <f>MOD(J27*J27-B27-Gx,prime)</f>
        <v/>
      </c>
      <c r="C28">
        <f>MOD(J27*(Gx-B28)-Gy,prime)</f>
        <v/>
      </c>
      <c r="D28">
        <f>MOD(C28*C28,prime)</f>
        <v/>
      </c>
      <c r="E28">
        <f>MOD(B28^3+a*B28+b,prime)</f>
        <v/>
      </c>
      <c r="G28">
        <f>MOD(Gy-C28,prime)</f>
        <v/>
      </c>
      <c r="H28">
        <f>MOD(Gx-B28,prime)</f>
        <v/>
      </c>
      <c r="I28">
        <f>IF(SUMPRODUCT((MOD(MOD(H28,prime)*ROW($A$1:$A$313),prime)=1)*(ROW($A$1:$A$313)&lt;prime)*ROW($A$1:$A$313))=0,NA(),SUMPRODUCT((MOD(MOD(H28,prime)*ROW($A$1:$A$313),prime)=1)*(ROW($A$1:$A$313)&lt;prime)*ROW($A$1:$A$313)))</f>
        <v/>
      </c>
      <c r="J28">
        <f>MOD(G28*I28,prime)</f>
        <v/>
      </c>
    </row>
    <row r="29">
      <c r="A29" t="n">
        <v>24</v>
      </c>
      <c r="B29">
        <f>MOD(J28*J28-B28-Gx,prime)</f>
        <v/>
      </c>
      <c r="C29">
        <f>MOD(J28*(Gx-B29)-Gy,prime)</f>
        <v/>
      </c>
      <c r="D29">
        <f>MOD(C29*C29,prime)</f>
        <v/>
      </c>
      <c r="E29">
        <f>MOD(B29^3+a*B29+b,prime)</f>
        <v/>
      </c>
      <c r="G29">
        <f>MOD(Gy-C29,prime)</f>
        <v/>
      </c>
      <c r="H29">
        <f>MOD(Gx-B29,prime)</f>
        <v/>
      </c>
      <c r="I29">
        <f>IF(SUMPRODUCT((MOD(MOD(H29,prime)*ROW($A$1:$A$313),prime)=1)*(ROW($A$1:$A$313)&lt;prime)*ROW($A$1:$A$313))=0,NA(),SUMPRODUCT((MOD(MOD(H29,prime)*ROW($A$1:$A$313),prime)=1)*(ROW($A$1:$A$313)&lt;prime)*ROW($A$1:$A$313)))</f>
        <v/>
      </c>
      <c r="J29">
        <f>MOD(G29*I29,prime)</f>
        <v/>
      </c>
    </row>
    <row r="30">
      <c r="A30" t="n">
        <v>25</v>
      </c>
      <c r="B30">
        <f>MOD(J29*J29-B29-Gx,prime)</f>
        <v/>
      </c>
      <c r="C30">
        <f>MOD(J29*(Gx-B30)-Gy,prime)</f>
        <v/>
      </c>
      <c r="D30">
        <f>MOD(C30*C30,prime)</f>
        <v/>
      </c>
      <c r="E30">
        <f>MOD(B30^3+a*B30+b,prime)</f>
        <v/>
      </c>
      <c r="G30">
        <f>MOD(Gy-C30,prime)</f>
        <v/>
      </c>
      <c r="H30">
        <f>MOD(Gx-B30,prime)</f>
        <v/>
      </c>
      <c r="I30">
        <f>IF(SUMPRODUCT((MOD(MOD(H30,prime)*ROW($A$1:$A$313),prime)=1)*(ROW($A$1:$A$313)&lt;prime)*ROW($A$1:$A$313))=0,NA(),SUMPRODUCT((MOD(MOD(H30,prime)*ROW($A$1:$A$313),prime)=1)*(ROW($A$1:$A$313)&lt;prime)*ROW($A$1:$A$313)))</f>
        <v/>
      </c>
      <c r="J30">
        <f>MOD(G30*I30,prime)</f>
        <v/>
      </c>
    </row>
    <row r="31">
      <c r="A31" t="n">
        <v>26</v>
      </c>
      <c r="B31">
        <f>MOD(J30*J30-B30-Gx,prime)</f>
        <v/>
      </c>
      <c r="C31">
        <f>MOD(J30*(Gx-B31)-Gy,prime)</f>
        <v/>
      </c>
      <c r="D31">
        <f>MOD(C31*C31,prime)</f>
        <v/>
      </c>
      <c r="E31">
        <f>MOD(B31^3+a*B31+b,prime)</f>
        <v/>
      </c>
      <c r="G31">
        <f>MOD(Gy-C31,prime)</f>
        <v/>
      </c>
      <c r="H31">
        <f>MOD(Gx-B31,prime)</f>
        <v/>
      </c>
      <c r="I31">
        <f>IF(SUMPRODUCT((MOD(MOD(H31,prime)*ROW($A$1:$A$313),prime)=1)*(ROW($A$1:$A$313)&lt;prime)*ROW($A$1:$A$313))=0,NA(),SUMPRODUCT((MOD(MOD(H31,prime)*ROW($A$1:$A$313),prime)=1)*(ROW($A$1:$A$313)&lt;prime)*ROW($A$1:$A$313)))</f>
        <v/>
      </c>
      <c r="J31">
        <f>MOD(G31*I31,prime)</f>
        <v/>
      </c>
    </row>
    <row r="32">
      <c r="A32" t="n">
        <v>27</v>
      </c>
      <c r="B32">
        <f>MOD(J31*J31-B31-Gx,prime)</f>
        <v/>
      </c>
      <c r="C32">
        <f>MOD(J31*(Gx-B32)-Gy,prime)</f>
        <v/>
      </c>
      <c r="D32">
        <f>MOD(C32*C32,prime)</f>
        <v/>
      </c>
      <c r="E32">
        <f>MOD(B32^3+a*B32+b,prime)</f>
        <v/>
      </c>
      <c r="G32">
        <f>MOD(Gy-C32,prime)</f>
        <v/>
      </c>
      <c r="H32">
        <f>MOD(Gx-B32,prime)</f>
        <v/>
      </c>
      <c r="I32">
        <f>IF(SUMPRODUCT((MOD(MOD(H32,prime)*ROW($A$1:$A$313),prime)=1)*(ROW($A$1:$A$313)&lt;prime)*ROW($A$1:$A$313))=0,NA(),SUMPRODUCT((MOD(MOD(H32,prime)*ROW($A$1:$A$313),prime)=1)*(ROW($A$1:$A$313)&lt;prime)*ROW($A$1:$A$313)))</f>
        <v/>
      </c>
      <c r="J32">
        <f>MOD(G32*I32,prime)</f>
        <v/>
      </c>
    </row>
    <row r="33">
      <c r="A33" t="n">
        <v>28</v>
      </c>
      <c r="B33">
        <f>MOD(J32*J32-B32-Gx,prime)</f>
        <v/>
      </c>
      <c r="C33">
        <f>MOD(J32*(Gx-B33)-Gy,prime)</f>
        <v/>
      </c>
      <c r="D33">
        <f>MOD(C33*C33,prime)</f>
        <v/>
      </c>
      <c r="E33">
        <f>MOD(B33^3+a*B33+b,prime)</f>
        <v/>
      </c>
      <c r="G33">
        <f>MOD(Gy-C33,prime)</f>
        <v/>
      </c>
      <c r="H33">
        <f>MOD(Gx-B33,prime)</f>
        <v/>
      </c>
      <c r="I33">
        <f>IF(SUMPRODUCT((MOD(MOD(H33,prime)*ROW($A$1:$A$313),prime)=1)*(ROW($A$1:$A$313)&lt;prime)*ROW($A$1:$A$313))=0,NA(),SUMPRODUCT((MOD(MOD(H33,prime)*ROW($A$1:$A$313),prime)=1)*(ROW($A$1:$A$313)&lt;prime)*ROW($A$1:$A$313)))</f>
        <v/>
      </c>
      <c r="J33">
        <f>MOD(G33*I33,prime)</f>
        <v/>
      </c>
    </row>
    <row r="34">
      <c r="A34" t="n">
        <v>29</v>
      </c>
      <c r="B34">
        <f>MOD(J33*J33-B33-Gx,prime)</f>
        <v/>
      </c>
      <c r="C34">
        <f>MOD(J33*(Gx-B34)-Gy,prime)</f>
        <v/>
      </c>
      <c r="D34">
        <f>MOD(C34*C34,prime)</f>
        <v/>
      </c>
      <c r="E34">
        <f>MOD(B34^3+a*B34+b,prime)</f>
        <v/>
      </c>
      <c r="G34">
        <f>MOD(Gy-C34,prime)</f>
        <v/>
      </c>
      <c r="H34">
        <f>MOD(Gx-B34,prime)</f>
        <v/>
      </c>
      <c r="I34">
        <f>IF(SUMPRODUCT((MOD(MOD(H34,prime)*ROW($A$1:$A$313),prime)=1)*(ROW($A$1:$A$313)&lt;prime)*ROW($A$1:$A$313))=0,NA(),SUMPRODUCT((MOD(MOD(H34,prime)*ROW($A$1:$A$313),prime)=1)*(ROW($A$1:$A$313)&lt;prime)*ROW($A$1:$A$313)))</f>
        <v/>
      </c>
      <c r="J34">
        <f>MOD(G34*I34,prime)</f>
        <v/>
      </c>
    </row>
    <row r="35">
      <c r="A35" t="n">
        <v>30</v>
      </c>
      <c r="B35">
        <f>MOD(J34*J34-B34-Gx,prime)</f>
        <v/>
      </c>
      <c r="C35">
        <f>MOD(J34*(Gx-B35)-Gy,prime)</f>
        <v/>
      </c>
      <c r="D35">
        <f>MOD(C35*C35,prime)</f>
        <v/>
      </c>
      <c r="E35">
        <f>MOD(B35^3+a*B35+b,prime)</f>
        <v/>
      </c>
      <c r="G35">
        <f>MOD(Gy-C35,prime)</f>
        <v/>
      </c>
      <c r="H35">
        <f>MOD(Gx-B35,prime)</f>
        <v/>
      </c>
      <c r="I35">
        <f>IF(SUMPRODUCT((MOD(MOD(H35,prime)*ROW($A$1:$A$313),prime)=1)*(ROW($A$1:$A$313)&lt;prime)*ROW($A$1:$A$313))=0,NA(),SUMPRODUCT((MOD(MOD(H35,prime)*ROW($A$1:$A$313),prime)=1)*(ROW($A$1:$A$313)&lt;prime)*ROW($A$1:$A$313)))</f>
        <v/>
      </c>
      <c r="J35">
        <f>MOD(G35*I35,prime)</f>
        <v/>
      </c>
    </row>
    <row r="36">
      <c r="A36" t="n">
        <v>31</v>
      </c>
      <c r="B36">
        <f>MOD(J35*J35-B35-Gx,prime)</f>
        <v/>
      </c>
      <c r="C36">
        <f>MOD(J35*(Gx-B36)-Gy,prime)</f>
        <v/>
      </c>
      <c r="D36">
        <f>MOD(C36*C36,prime)</f>
        <v/>
      </c>
      <c r="E36">
        <f>MOD(B36^3+a*B36+b,prime)</f>
        <v/>
      </c>
      <c r="G36">
        <f>MOD(Gy-C36,prime)</f>
        <v/>
      </c>
      <c r="H36">
        <f>MOD(Gx-B36,prime)</f>
        <v/>
      </c>
      <c r="I36">
        <f>IF(SUMPRODUCT((MOD(MOD(H36,prime)*ROW($A$1:$A$313),prime)=1)*(ROW($A$1:$A$313)&lt;prime)*ROW($A$1:$A$313))=0,NA(),SUMPRODUCT((MOD(MOD(H36,prime)*ROW($A$1:$A$313),prime)=1)*(ROW($A$1:$A$313)&lt;prime)*ROW($A$1:$A$313)))</f>
        <v/>
      </c>
      <c r="J36">
        <f>MOD(G36*I36,prime)</f>
        <v/>
      </c>
    </row>
    <row r="37">
      <c r="A37" t="n">
        <v>32</v>
      </c>
      <c r="B37">
        <f>MOD(J36*J36-B36-Gx,prime)</f>
        <v/>
      </c>
      <c r="C37">
        <f>MOD(J36*(Gx-B37)-Gy,prime)</f>
        <v/>
      </c>
      <c r="D37">
        <f>MOD(C37*C37,prime)</f>
        <v/>
      </c>
      <c r="E37">
        <f>MOD(B37^3+a*B37+b,prime)</f>
        <v/>
      </c>
      <c r="G37">
        <f>MOD(Gy-C37,prime)</f>
        <v/>
      </c>
      <c r="H37">
        <f>MOD(Gx-B37,prime)</f>
        <v/>
      </c>
      <c r="I37">
        <f>IF(SUMPRODUCT((MOD(MOD(H37,prime)*ROW($A$1:$A$313),prime)=1)*(ROW($A$1:$A$313)&lt;prime)*ROW($A$1:$A$313))=0,NA(),SUMPRODUCT((MOD(MOD(H37,prime)*ROW($A$1:$A$313),prime)=1)*(ROW($A$1:$A$313)&lt;prime)*ROW($A$1:$A$313)))</f>
        <v/>
      </c>
      <c r="J37">
        <f>MOD(G37*I37,prime)</f>
        <v/>
      </c>
    </row>
    <row r="38">
      <c r="A38" t="n">
        <v>33</v>
      </c>
      <c r="B38">
        <f>MOD(J37*J37-B37-Gx,prime)</f>
        <v/>
      </c>
      <c r="C38">
        <f>MOD(J37*(Gx-B38)-Gy,prime)</f>
        <v/>
      </c>
      <c r="D38">
        <f>MOD(C38*C38,prime)</f>
        <v/>
      </c>
      <c r="E38">
        <f>MOD(B38^3+a*B38+b,prime)</f>
        <v/>
      </c>
      <c r="G38">
        <f>MOD(Gy-C38,prime)</f>
        <v/>
      </c>
      <c r="H38">
        <f>MOD(Gx-B38,prime)</f>
        <v/>
      </c>
      <c r="I38">
        <f>IF(SUMPRODUCT((MOD(MOD(H38,prime)*ROW($A$1:$A$313),prime)=1)*(ROW($A$1:$A$313)&lt;prime)*ROW($A$1:$A$313))=0,NA(),SUMPRODUCT((MOD(MOD(H38,prime)*ROW($A$1:$A$313),prime)=1)*(ROW($A$1:$A$313)&lt;prime)*ROW($A$1:$A$313)))</f>
        <v/>
      </c>
      <c r="J38">
        <f>MOD(G38*I38,prime)</f>
        <v/>
      </c>
    </row>
    <row r="39">
      <c r="A39" t="n">
        <v>34</v>
      </c>
      <c r="B39">
        <f>MOD(J38*J38-B38-Gx,prime)</f>
        <v/>
      </c>
      <c r="C39">
        <f>MOD(J38*(Gx-B39)-Gy,prime)</f>
        <v/>
      </c>
      <c r="D39">
        <f>MOD(C39*C39,prime)</f>
        <v/>
      </c>
      <c r="E39">
        <f>MOD(B39^3+a*B39+b,prime)</f>
        <v/>
      </c>
      <c r="G39">
        <f>MOD(Gy-C39,prime)</f>
        <v/>
      </c>
      <c r="H39">
        <f>MOD(Gx-B39,prime)</f>
        <v/>
      </c>
      <c r="I39">
        <f>IF(SUMPRODUCT((MOD(MOD(H39,prime)*ROW($A$1:$A$313),prime)=1)*(ROW($A$1:$A$313)&lt;prime)*ROW($A$1:$A$313))=0,NA(),SUMPRODUCT((MOD(MOD(H39,prime)*ROW($A$1:$A$313),prime)=1)*(ROW($A$1:$A$313)&lt;prime)*ROW($A$1:$A$313)))</f>
        <v/>
      </c>
      <c r="J39">
        <f>MOD(G39*I39,prime)</f>
        <v/>
      </c>
    </row>
    <row r="40">
      <c r="A40" t="n">
        <v>35</v>
      </c>
      <c r="B40">
        <f>MOD(J39*J39-B39-Gx,prime)</f>
        <v/>
      </c>
      <c r="C40">
        <f>MOD(J39*(Gx-B40)-Gy,prime)</f>
        <v/>
      </c>
      <c r="D40">
        <f>MOD(C40*C40,prime)</f>
        <v/>
      </c>
      <c r="E40">
        <f>MOD(B40^3+a*B40+b,prime)</f>
        <v/>
      </c>
      <c r="G40">
        <f>MOD(Gy-C40,prime)</f>
        <v/>
      </c>
      <c r="H40">
        <f>MOD(Gx-B40,prime)</f>
        <v/>
      </c>
      <c r="I40">
        <f>IF(SUMPRODUCT((MOD(MOD(H40,prime)*ROW($A$1:$A$313),prime)=1)*(ROW($A$1:$A$313)&lt;prime)*ROW($A$1:$A$313))=0,NA(),SUMPRODUCT((MOD(MOD(H40,prime)*ROW($A$1:$A$313),prime)=1)*(ROW($A$1:$A$313)&lt;prime)*ROW($A$1:$A$313)))</f>
        <v/>
      </c>
      <c r="J40">
        <f>MOD(G40*I40,prime)</f>
        <v/>
      </c>
    </row>
    <row r="41">
      <c r="A41" t="n">
        <v>36</v>
      </c>
      <c r="B41">
        <f>MOD(J40*J40-B40-Gx,prime)</f>
        <v/>
      </c>
      <c r="C41">
        <f>MOD(J40*(Gx-B41)-Gy,prime)</f>
        <v/>
      </c>
      <c r="D41">
        <f>MOD(C41*C41,prime)</f>
        <v/>
      </c>
      <c r="E41">
        <f>MOD(B41^3+a*B41+b,prime)</f>
        <v/>
      </c>
      <c r="G41">
        <f>MOD(Gy-C41,prime)</f>
        <v/>
      </c>
      <c r="H41">
        <f>MOD(Gx-B41,prime)</f>
        <v/>
      </c>
      <c r="I41">
        <f>IF(SUMPRODUCT((MOD(MOD(H41,prime)*ROW($A$1:$A$313),prime)=1)*(ROW($A$1:$A$313)&lt;prime)*ROW($A$1:$A$313))=0,NA(),SUMPRODUCT((MOD(MOD(H41,prime)*ROW($A$1:$A$313),prime)=1)*(ROW($A$1:$A$313)&lt;prime)*ROW($A$1:$A$313)))</f>
        <v/>
      </c>
      <c r="J41">
        <f>MOD(G41*I41,prime)</f>
        <v/>
      </c>
    </row>
    <row r="42">
      <c r="A42" t="n">
        <v>37</v>
      </c>
      <c r="B42">
        <f>MOD(J41*J41-B41-Gx,prime)</f>
        <v/>
      </c>
      <c r="C42">
        <f>MOD(J41*(Gx-B42)-Gy,prime)</f>
        <v/>
      </c>
      <c r="D42">
        <f>MOD(C42*C42,prime)</f>
        <v/>
      </c>
      <c r="E42">
        <f>MOD(B42^3+a*B42+b,prime)</f>
        <v/>
      </c>
      <c r="G42">
        <f>MOD(Gy-C42,prime)</f>
        <v/>
      </c>
      <c r="H42">
        <f>MOD(Gx-B42,prime)</f>
        <v/>
      </c>
      <c r="I42">
        <f>IF(SUMPRODUCT((MOD(MOD(H42,prime)*ROW($A$1:$A$313),prime)=1)*(ROW($A$1:$A$313)&lt;prime)*ROW($A$1:$A$313))=0,NA(),SUMPRODUCT((MOD(MOD(H42,prime)*ROW($A$1:$A$313),prime)=1)*(ROW($A$1:$A$313)&lt;prime)*ROW($A$1:$A$313)))</f>
        <v/>
      </c>
      <c r="J42">
        <f>MOD(G42*I42,prime)</f>
        <v/>
      </c>
    </row>
    <row r="43">
      <c r="A43" t="n">
        <v>38</v>
      </c>
      <c r="B43">
        <f>MOD(J42*J42-B42-Gx,prime)</f>
        <v/>
      </c>
      <c r="C43">
        <f>MOD(J42*(Gx-B43)-Gy,prime)</f>
        <v/>
      </c>
      <c r="D43">
        <f>MOD(C43*C43,prime)</f>
        <v/>
      </c>
      <c r="E43">
        <f>MOD(B43^3+a*B43+b,prime)</f>
        <v/>
      </c>
      <c r="G43">
        <f>MOD(Gy-C43,prime)</f>
        <v/>
      </c>
      <c r="H43">
        <f>MOD(Gx-B43,prime)</f>
        <v/>
      </c>
      <c r="I43">
        <f>IF(SUMPRODUCT((MOD(MOD(H43,prime)*ROW($A$1:$A$313),prime)=1)*(ROW($A$1:$A$313)&lt;prime)*ROW($A$1:$A$313))=0,NA(),SUMPRODUCT((MOD(MOD(H43,prime)*ROW($A$1:$A$313),prime)=1)*(ROW($A$1:$A$313)&lt;prime)*ROW($A$1:$A$313)))</f>
        <v/>
      </c>
      <c r="J43">
        <f>MOD(G43*I43,prime)</f>
        <v/>
      </c>
    </row>
    <row r="44">
      <c r="A44" t="n">
        <v>39</v>
      </c>
      <c r="B44">
        <f>MOD(J43*J43-B43-Gx,prime)</f>
        <v/>
      </c>
      <c r="C44">
        <f>MOD(J43*(Gx-B44)-Gy,prime)</f>
        <v/>
      </c>
      <c r="D44">
        <f>MOD(C44*C44,prime)</f>
        <v/>
      </c>
      <c r="E44">
        <f>MOD(B44^3+a*B44+b,prime)</f>
        <v/>
      </c>
      <c r="G44">
        <f>MOD(Gy-C44,prime)</f>
        <v/>
      </c>
      <c r="H44">
        <f>MOD(Gx-B44,prime)</f>
        <v/>
      </c>
      <c r="I44">
        <f>IF(SUMPRODUCT((MOD(MOD(H44,prime)*ROW($A$1:$A$313),prime)=1)*(ROW($A$1:$A$313)&lt;prime)*ROW($A$1:$A$313))=0,NA(),SUMPRODUCT((MOD(MOD(H44,prime)*ROW($A$1:$A$313),prime)=1)*(ROW($A$1:$A$313)&lt;prime)*ROW($A$1:$A$313)))</f>
        <v/>
      </c>
      <c r="J44">
        <f>MOD(G44*I44,prime)</f>
        <v/>
      </c>
    </row>
    <row r="45">
      <c r="A45" t="n">
        <v>40</v>
      </c>
      <c r="B45">
        <f>MOD(J44*J44-B44-Gx,prime)</f>
        <v/>
      </c>
      <c r="C45">
        <f>MOD(J44*(Gx-B45)-Gy,prime)</f>
        <v/>
      </c>
      <c r="D45">
        <f>MOD(C45*C45,prime)</f>
        <v/>
      </c>
      <c r="E45">
        <f>MOD(B45^3+a*B45+b,prime)</f>
        <v/>
      </c>
      <c r="G45">
        <f>MOD(Gy-C45,prime)</f>
        <v/>
      </c>
      <c r="H45">
        <f>MOD(Gx-B45,prime)</f>
        <v/>
      </c>
      <c r="I45">
        <f>IF(SUMPRODUCT((MOD(MOD(H45,prime)*ROW($A$1:$A$313),prime)=1)*(ROW($A$1:$A$313)&lt;prime)*ROW($A$1:$A$313))=0,NA(),SUMPRODUCT((MOD(MOD(H45,prime)*ROW($A$1:$A$313),prime)=1)*(ROW($A$1:$A$313)&lt;prime)*ROW($A$1:$A$313)))</f>
        <v/>
      </c>
      <c r="J45">
        <f>MOD(G45*I45,prime)</f>
        <v/>
      </c>
    </row>
    <row r="46">
      <c r="A46" t="n">
        <v>41</v>
      </c>
      <c r="B46">
        <f>MOD(J45*J45-B45-Gx,prime)</f>
        <v/>
      </c>
      <c r="C46">
        <f>MOD(J45*(Gx-B46)-Gy,prime)</f>
        <v/>
      </c>
      <c r="D46">
        <f>MOD(C46*C46,prime)</f>
        <v/>
      </c>
      <c r="E46">
        <f>MOD(B46^3+a*B46+b,prime)</f>
        <v/>
      </c>
      <c r="G46">
        <f>MOD(Gy-C46,prime)</f>
        <v/>
      </c>
      <c r="H46">
        <f>MOD(Gx-B46,prime)</f>
        <v/>
      </c>
      <c r="I46">
        <f>IF(SUMPRODUCT((MOD(MOD(H46,prime)*ROW($A$1:$A$313),prime)=1)*(ROW($A$1:$A$313)&lt;prime)*ROW($A$1:$A$313))=0,NA(),SUMPRODUCT((MOD(MOD(H46,prime)*ROW($A$1:$A$313),prime)=1)*(ROW($A$1:$A$313)&lt;prime)*ROW($A$1:$A$313)))</f>
        <v/>
      </c>
      <c r="J46">
        <f>MOD(G46*I46,prime)</f>
        <v/>
      </c>
    </row>
    <row r="47">
      <c r="A47" t="n">
        <v>42</v>
      </c>
      <c r="B47">
        <f>MOD(J46*J46-B46-Gx,prime)</f>
        <v/>
      </c>
      <c r="C47">
        <f>MOD(J46*(Gx-B47)-Gy,prime)</f>
        <v/>
      </c>
      <c r="D47">
        <f>MOD(C47*C47,prime)</f>
        <v/>
      </c>
      <c r="E47">
        <f>MOD(B47^3+a*B47+b,prime)</f>
        <v/>
      </c>
      <c r="G47">
        <f>MOD(Gy-C47,prime)</f>
        <v/>
      </c>
      <c r="H47">
        <f>MOD(Gx-B47,prime)</f>
        <v/>
      </c>
      <c r="I47">
        <f>IF(SUMPRODUCT((MOD(MOD(H47,prime)*ROW($A$1:$A$313),prime)=1)*(ROW($A$1:$A$313)&lt;prime)*ROW($A$1:$A$313))=0,NA(),SUMPRODUCT((MOD(MOD(H47,prime)*ROW($A$1:$A$313),prime)=1)*(ROW($A$1:$A$313)&lt;prime)*ROW($A$1:$A$313)))</f>
        <v/>
      </c>
      <c r="J47">
        <f>MOD(G47*I47,prime)</f>
        <v/>
      </c>
    </row>
    <row r="48">
      <c r="A48" t="n">
        <v>43</v>
      </c>
      <c r="B48">
        <f>MOD(J47*J47-B47-Gx,prime)</f>
        <v/>
      </c>
      <c r="C48">
        <f>MOD(J47*(Gx-B48)-Gy,prime)</f>
        <v/>
      </c>
      <c r="D48">
        <f>MOD(C48*C48,prime)</f>
        <v/>
      </c>
      <c r="E48">
        <f>MOD(B48^3+a*B48+b,prime)</f>
        <v/>
      </c>
      <c r="G48">
        <f>MOD(Gy-C48,prime)</f>
        <v/>
      </c>
      <c r="H48">
        <f>MOD(Gx-B48,prime)</f>
        <v/>
      </c>
      <c r="I48">
        <f>IF(SUMPRODUCT((MOD(MOD(H48,prime)*ROW($A$1:$A$313),prime)=1)*(ROW($A$1:$A$313)&lt;prime)*ROW($A$1:$A$313))=0,NA(),SUMPRODUCT((MOD(MOD(H48,prime)*ROW($A$1:$A$313),prime)=1)*(ROW($A$1:$A$313)&lt;prime)*ROW($A$1:$A$313)))</f>
        <v/>
      </c>
      <c r="J48">
        <f>MOD(G48*I48,prime)</f>
        <v/>
      </c>
    </row>
    <row r="49">
      <c r="A49" t="n">
        <v>44</v>
      </c>
      <c r="B49">
        <f>MOD(J48*J48-B48-Gx,prime)</f>
        <v/>
      </c>
      <c r="C49">
        <f>MOD(J48*(Gx-B49)-Gy,prime)</f>
        <v/>
      </c>
      <c r="D49">
        <f>MOD(C49*C49,prime)</f>
        <v/>
      </c>
      <c r="E49">
        <f>MOD(B49^3+a*B49+b,prime)</f>
        <v/>
      </c>
      <c r="G49">
        <f>MOD(Gy-C49,prime)</f>
        <v/>
      </c>
      <c r="H49">
        <f>MOD(Gx-B49,prime)</f>
        <v/>
      </c>
      <c r="I49">
        <f>IF(SUMPRODUCT((MOD(MOD(H49,prime)*ROW($A$1:$A$313),prime)=1)*(ROW($A$1:$A$313)&lt;prime)*ROW($A$1:$A$313))=0,NA(),SUMPRODUCT((MOD(MOD(H49,prime)*ROW($A$1:$A$313),prime)=1)*(ROW($A$1:$A$313)&lt;prime)*ROW($A$1:$A$313)))</f>
        <v/>
      </c>
      <c r="J49">
        <f>MOD(G49*I49,prime)</f>
        <v/>
      </c>
    </row>
    <row r="50">
      <c r="A50" t="n">
        <v>45</v>
      </c>
      <c r="B50">
        <f>MOD(J49*J49-B49-Gx,prime)</f>
        <v/>
      </c>
      <c r="C50">
        <f>MOD(J49*(Gx-B50)-Gy,prime)</f>
        <v/>
      </c>
      <c r="D50">
        <f>MOD(C50*C50,prime)</f>
        <v/>
      </c>
      <c r="E50">
        <f>MOD(B50^3+a*B50+b,prime)</f>
        <v/>
      </c>
      <c r="G50">
        <f>MOD(Gy-C50,prime)</f>
        <v/>
      </c>
      <c r="H50">
        <f>MOD(Gx-B50,prime)</f>
        <v/>
      </c>
      <c r="I50">
        <f>IF(SUMPRODUCT((MOD(MOD(H50,prime)*ROW($A$1:$A$313),prime)=1)*(ROW($A$1:$A$313)&lt;prime)*ROW($A$1:$A$313))=0,NA(),SUMPRODUCT((MOD(MOD(H50,prime)*ROW($A$1:$A$313),prime)=1)*(ROW($A$1:$A$313)&lt;prime)*ROW($A$1:$A$313)))</f>
        <v/>
      </c>
      <c r="J50">
        <f>MOD(G50*I50,prime)</f>
        <v/>
      </c>
    </row>
    <row r="51">
      <c r="A51" t="n">
        <v>46</v>
      </c>
      <c r="B51">
        <f>MOD(J50*J50-B50-Gx,prime)</f>
        <v/>
      </c>
      <c r="C51">
        <f>MOD(J50*(Gx-B51)-Gy,prime)</f>
        <v/>
      </c>
      <c r="D51">
        <f>MOD(C51*C51,prime)</f>
        <v/>
      </c>
      <c r="E51">
        <f>MOD(B51^3+a*B51+b,prime)</f>
        <v/>
      </c>
      <c r="G51">
        <f>MOD(Gy-C51,prime)</f>
        <v/>
      </c>
      <c r="H51">
        <f>MOD(Gx-B51,prime)</f>
        <v/>
      </c>
      <c r="I51">
        <f>IF(SUMPRODUCT((MOD(MOD(H51,prime)*ROW($A$1:$A$313),prime)=1)*(ROW($A$1:$A$313)&lt;prime)*ROW($A$1:$A$313))=0,NA(),SUMPRODUCT((MOD(MOD(H51,prime)*ROW($A$1:$A$313),prime)=1)*(ROW($A$1:$A$313)&lt;prime)*ROW($A$1:$A$313)))</f>
        <v/>
      </c>
      <c r="J51">
        <f>MOD(G51*I51,prime)</f>
        <v/>
      </c>
    </row>
    <row r="52">
      <c r="A52" t="n">
        <v>47</v>
      </c>
      <c r="B52">
        <f>MOD(J51*J51-B51-Gx,prime)</f>
        <v/>
      </c>
      <c r="C52">
        <f>MOD(J51*(Gx-B52)-Gy,prime)</f>
        <v/>
      </c>
      <c r="D52">
        <f>MOD(C52*C52,prime)</f>
        <v/>
      </c>
      <c r="E52">
        <f>MOD(B52^3+a*B52+b,prime)</f>
        <v/>
      </c>
      <c r="G52">
        <f>MOD(Gy-C52,prime)</f>
        <v/>
      </c>
      <c r="H52">
        <f>MOD(Gx-B52,prime)</f>
        <v/>
      </c>
      <c r="I52">
        <f>IF(SUMPRODUCT((MOD(MOD(H52,prime)*ROW($A$1:$A$313),prime)=1)*(ROW($A$1:$A$313)&lt;prime)*ROW($A$1:$A$313))=0,NA(),SUMPRODUCT((MOD(MOD(H52,prime)*ROW($A$1:$A$313),prime)=1)*(ROW($A$1:$A$313)&lt;prime)*ROW($A$1:$A$313)))</f>
        <v/>
      </c>
      <c r="J52">
        <f>MOD(G52*I52,prime)</f>
        <v/>
      </c>
    </row>
    <row r="53">
      <c r="A53" t="n">
        <v>48</v>
      </c>
      <c r="B53">
        <f>MOD(J52*J52-B52-Gx,prime)</f>
        <v/>
      </c>
      <c r="C53">
        <f>MOD(J52*(Gx-B53)-Gy,prime)</f>
        <v/>
      </c>
      <c r="D53">
        <f>MOD(C53*C53,prime)</f>
        <v/>
      </c>
      <c r="E53">
        <f>MOD(B53^3+a*B53+b,prime)</f>
        <v/>
      </c>
      <c r="G53">
        <f>MOD(Gy-C53,prime)</f>
        <v/>
      </c>
      <c r="H53">
        <f>MOD(Gx-B53,prime)</f>
        <v/>
      </c>
      <c r="I53">
        <f>IF(SUMPRODUCT((MOD(MOD(H53,prime)*ROW($A$1:$A$313),prime)=1)*(ROW($A$1:$A$313)&lt;prime)*ROW($A$1:$A$313))=0,NA(),SUMPRODUCT((MOD(MOD(H53,prime)*ROW($A$1:$A$313),prime)=1)*(ROW($A$1:$A$313)&lt;prime)*ROW($A$1:$A$313)))</f>
        <v/>
      </c>
      <c r="J53">
        <f>MOD(G53*I53,prime)</f>
        <v/>
      </c>
    </row>
    <row r="54">
      <c r="A54" t="n">
        <v>49</v>
      </c>
      <c r="B54">
        <f>MOD(J53*J53-B53-Gx,prime)</f>
        <v/>
      </c>
      <c r="C54">
        <f>MOD(J53*(Gx-B54)-Gy,prime)</f>
        <v/>
      </c>
      <c r="D54">
        <f>MOD(C54*C54,prime)</f>
        <v/>
      </c>
      <c r="E54">
        <f>MOD(B54^3+a*B54+b,prime)</f>
        <v/>
      </c>
      <c r="G54">
        <f>MOD(Gy-C54,prime)</f>
        <v/>
      </c>
      <c r="H54">
        <f>MOD(Gx-B54,prime)</f>
        <v/>
      </c>
      <c r="I54">
        <f>IF(SUMPRODUCT((MOD(MOD(H54,prime)*ROW($A$1:$A$313),prime)=1)*(ROW($A$1:$A$313)&lt;prime)*ROW($A$1:$A$313))=0,NA(),SUMPRODUCT((MOD(MOD(H54,prime)*ROW($A$1:$A$313),prime)=1)*(ROW($A$1:$A$313)&lt;prime)*ROW($A$1:$A$313)))</f>
        <v/>
      </c>
      <c r="J54">
        <f>MOD(G54*I54,prime)</f>
        <v/>
      </c>
    </row>
    <row r="55">
      <c r="A55" t="n">
        <v>50</v>
      </c>
      <c r="B55">
        <f>MOD(J54*J54-B54-Gx,prime)</f>
        <v/>
      </c>
      <c r="C55">
        <f>MOD(J54*(Gx-B55)-Gy,prime)</f>
        <v/>
      </c>
      <c r="D55">
        <f>MOD(C55*C55,prime)</f>
        <v/>
      </c>
      <c r="E55">
        <f>MOD(B55^3+a*B55+b,prime)</f>
        <v/>
      </c>
      <c r="G55">
        <f>MOD(Gy-C55,prime)</f>
        <v/>
      </c>
      <c r="H55">
        <f>MOD(Gx-B55,prime)</f>
        <v/>
      </c>
      <c r="I55">
        <f>IF(SUMPRODUCT((MOD(MOD(H55,prime)*ROW($A$1:$A$313),prime)=1)*(ROW($A$1:$A$313)&lt;prime)*ROW($A$1:$A$313))=0,NA(),SUMPRODUCT((MOD(MOD(H55,prime)*ROW($A$1:$A$313),prime)=1)*(ROW($A$1:$A$313)&lt;prime)*ROW($A$1:$A$313)))</f>
        <v/>
      </c>
      <c r="J55">
        <f>MOD(G55*I55,prime)</f>
        <v/>
      </c>
    </row>
    <row r="56">
      <c r="A56" t="n">
        <v>51</v>
      </c>
      <c r="B56">
        <f>MOD(J55*J55-B55-Gx,prime)</f>
        <v/>
      </c>
      <c r="C56">
        <f>MOD(J55*(Gx-B56)-Gy,prime)</f>
        <v/>
      </c>
      <c r="D56">
        <f>MOD(C56*C56,prime)</f>
        <v/>
      </c>
      <c r="E56">
        <f>MOD(B56^3+a*B56+b,prime)</f>
        <v/>
      </c>
      <c r="G56">
        <f>MOD(Gy-C56,prime)</f>
        <v/>
      </c>
      <c r="H56">
        <f>MOD(Gx-B56,prime)</f>
        <v/>
      </c>
      <c r="I56">
        <f>IF(SUMPRODUCT((MOD(MOD(H56,prime)*ROW($A$1:$A$313),prime)=1)*(ROW($A$1:$A$313)&lt;prime)*ROW($A$1:$A$313))=0,NA(),SUMPRODUCT((MOD(MOD(H56,prime)*ROW($A$1:$A$313),prime)=1)*(ROW($A$1:$A$313)&lt;prime)*ROW($A$1:$A$313)))</f>
        <v/>
      </c>
      <c r="J56">
        <f>MOD(G56*I56,prime)</f>
        <v/>
      </c>
    </row>
    <row r="57">
      <c r="A57" t="n">
        <v>52</v>
      </c>
      <c r="B57">
        <f>MOD(J56*J56-B56-Gx,prime)</f>
        <v/>
      </c>
      <c r="C57">
        <f>MOD(J56*(Gx-B57)-Gy,prime)</f>
        <v/>
      </c>
      <c r="D57">
        <f>MOD(C57*C57,prime)</f>
        <v/>
      </c>
      <c r="E57">
        <f>MOD(B57^3+a*B57+b,prime)</f>
        <v/>
      </c>
      <c r="G57">
        <f>MOD(Gy-C57,prime)</f>
        <v/>
      </c>
      <c r="H57">
        <f>MOD(Gx-B57,prime)</f>
        <v/>
      </c>
      <c r="I57">
        <f>IF(SUMPRODUCT((MOD(MOD(H57,prime)*ROW($A$1:$A$313),prime)=1)*(ROW($A$1:$A$313)&lt;prime)*ROW($A$1:$A$313))=0,NA(),SUMPRODUCT((MOD(MOD(H57,prime)*ROW($A$1:$A$313),prime)=1)*(ROW($A$1:$A$313)&lt;prime)*ROW($A$1:$A$313)))</f>
        <v/>
      </c>
      <c r="J57">
        <f>MOD(G57*I57,prime)</f>
        <v/>
      </c>
    </row>
    <row r="58">
      <c r="A58" t="n">
        <v>53</v>
      </c>
      <c r="B58">
        <f>MOD(J57*J57-B57-Gx,prime)</f>
        <v/>
      </c>
      <c r="C58">
        <f>MOD(J57*(Gx-B58)-Gy,prime)</f>
        <v/>
      </c>
      <c r="D58">
        <f>MOD(C58*C58,prime)</f>
        <v/>
      </c>
      <c r="E58">
        <f>MOD(B58^3+a*B58+b,prime)</f>
        <v/>
      </c>
      <c r="G58">
        <f>MOD(Gy-C58,prime)</f>
        <v/>
      </c>
      <c r="H58">
        <f>MOD(Gx-B58,prime)</f>
        <v/>
      </c>
      <c r="I58">
        <f>IF(SUMPRODUCT((MOD(MOD(H58,prime)*ROW($A$1:$A$313),prime)=1)*(ROW($A$1:$A$313)&lt;prime)*ROW($A$1:$A$313))=0,NA(),SUMPRODUCT((MOD(MOD(H58,prime)*ROW($A$1:$A$313),prime)=1)*(ROW($A$1:$A$313)&lt;prime)*ROW($A$1:$A$313)))</f>
        <v/>
      </c>
      <c r="J58">
        <f>MOD(G58*I58,prime)</f>
        <v/>
      </c>
    </row>
    <row r="59">
      <c r="A59" t="n">
        <v>54</v>
      </c>
      <c r="B59">
        <f>MOD(J58*J58-B58-Gx,prime)</f>
        <v/>
      </c>
      <c r="C59">
        <f>MOD(J58*(Gx-B59)-Gy,prime)</f>
        <v/>
      </c>
      <c r="D59">
        <f>MOD(C59*C59,prime)</f>
        <v/>
      </c>
      <c r="E59">
        <f>MOD(B59^3+a*B59+b,prime)</f>
        <v/>
      </c>
      <c r="G59">
        <f>MOD(Gy-C59,prime)</f>
        <v/>
      </c>
      <c r="H59">
        <f>MOD(Gx-B59,prime)</f>
        <v/>
      </c>
      <c r="I59">
        <f>IF(SUMPRODUCT((MOD(MOD(H59,prime)*ROW($A$1:$A$313),prime)=1)*(ROW($A$1:$A$313)&lt;prime)*ROW($A$1:$A$313))=0,NA(),SUMPRODUCT((MOD(MOD(H59,prime)*ROW($A$1:$A$313),prime)=1)*(ROW($A$1:$A$313)&lt;prime)*ROW($A$1:$A$313)))</f>
        <v/>
      </c>
      <c r="J59">
        <f>MOD(G59*I59,prime)</f>
        <v/>
      </c>
    </row>
    <row r="60">
      <c r="A60" t="n">
        <v>55</v>
      </c>
      <c r="B60">
        <f>MOD(J59*J59-B59-Gx,prime)</f>
        <v/>
      </c>
      <c r="C60">
        <f>MOD(J59*(Gx-B60)-Gy,prime)</f>
        <v/>
      </c>
      <c r="D60">
        <f>MOD(C60*C60,prime)</f>
        <v/>
      </c>
      <c r="E60">
        <f>MOD(B60^3+a*B60+b,prime)</f>
        <v/>
      </c>
      <c r="G60">
        <f>MOD(Gy-C60,prime)</f>
        <v/>
      </c>
      <c r="H60">
        <f>MOD(Gx-B60,prime)</f>
        <v/>
      </c>
      <c r="I60">
        <f>IF(SUMPRODUCT((MOD(MOD(H60,prime)*ROW($A$1:$A$313),prime)=1)*(ROW($A$1:$A$313)&lt;prime)*ROW($A$1:$A$313))=0,NA(),SUMPRODUCT((MOD(MOD(H60,prime)*ROW($A$1:$A$313),prime)=1)*(ROW($A$1:$A$313)&lt;prime)*ROW($A$1:$A$313)))</f>
        <v/>
      </c>
      <c r="J60">
        <f>MOD(G60*I60,prime)</f>
        <v/>
      </c>
    </row>
    <row r="61">
      <c r="A61" t="n">
        <v>56</v>
      </c>
      <c r="B61">
        <f>MOD(J60*J60-B60-Gx,prime)</f>
        <v/>
      </c>
      <c r="C61">
        <f>MOD(J60*(Gx-B61)-Gy,prime)</f>
        <v/>
      </c>
      <c r="D61">
        <f>MOD(C61*C61,prime)</f>
        <v/>
      </c>
      <c r="E61">
        <f>MOD(B61^3+a*B61+b,prime)</f>
        <v/>
      </c>
      <c r="G61">
        <f>MOD(Gy-C61,prime)</f>
        <v/>
      </c>
      <c r="H61">
        <f>MOD(Gx-B61,prime)</f>
        <v/>
      </c>
      <c r="I61">
        <f>IF(SUMPRODUCT((MOD(MOD(H61,prime)*ROW($A$1:$A$313),prime)=1)*(ROW($A$1:$A$313)&lt;prime)*ROW($A$1:$A$313))=0,NA(),SUMPRODUCT((MOD(MOD(H61,prime)*ROW($A$1:$A$313),prime)=1)*(ROW($A$1:$A$313)&lt;prime)*ROW($A$1:$A$313)))</f>
        <v/>
      </c>
      <c r="J61">
        <f>MOD(G61*I61,prime)</f>
        <v/>
      </c>
    </row>
    <row r="62">
      <c r="A62" t="n">
        <v>57</v>
      </c>
      <c r="B62">
        <f>MOD(J61*J61-B61-Gx,prime)</f>
        <v/>
      </c>
      <c r="C62">
        <f>MOD(J61*(Gx-B62)-Gy,prime)</f>
        <v/>
      </c>
      <c r="D62">
        <f>MOD(C62*C62,prime)</f>
        <v/>
      </c>
      <c r="E62">
        <f>MOD(B62^3+a*B62+b,prime)</f>
        <v/>
      </c>
      <c r="G62">
        <f>MOD(Gy-C62,prime)</f>
        <v/>
      </c>
      <c r="H62">
        <f>MOD(Gx-B62,prime)</f>
        <v/>
      </c>
      <c r="I62">
        <f>IF(SUMPRODUCT((MOD(MOD(H62,prime)*ROW($A$1:$A$313),prime)=1)*(ROW($A$1:$A$313)&lt;prime)*ROW($A$1:$A$313))=0,NA(),SUMPRODUCT((MOD(MOD(H62,prime)*ROW($A$1:$A$313),prime)=1)*(ROW($A$1:$A$313)&lt;prime)*ROW($A$1:$A$313)))</f>
        <v/>
      </c>
      <c r="J62">
        <f>MOD(G62*I62,prime)</f>
        <v/>
      </c>
    </row>
    <row r="63">
      <c r="A63" t="n">
        <v>58</v>
      </c>
      <c r="B63">
        <f>MOD(J62*J62-B62-Gx,prime)</f>
        <v/>
      </c>
      <c r="C63">
        <f>MOD(J62*(Gx-B63)-Gy,prime)</f>
        <v/>
      </c>
      <c r="D63">
        <f>MOD(C63*C63,prime)</f>
        <v/>
      </c>
      <c r="E63">
        <f>MOD(B63^3+a*B63+b,prime)</f>
        <v/>
      </c>
      <c r="G63">
        <f>MOD(Gy-C63,prime)</f>
        <v/>
      </c>
      <c r="H63">
        <f>MOD(Gx-B63,prime)</f>
        <v/>
      </c>
      <c r="I63">
        <f>IF(SUMPRODUCT((MOD(MOD(H63,prime)*ROW($A$1:$A$313),prime)=1)*(ROW($A$1:$A$313)&lt;prime)*ROW($A$1:$A$313))=0,NA(),SUMPRODUCT((MOD(MOD(H63,prime)*ROW($A$1:$A$313),prime)=1)*(ROW($A$1:$A$313)&lt;prime)*ROW($A$1:$A$313)))</f>
        <v/>
      </c>
      <c r="J63">
        <f>MOD(G63*I63,prime)</f>
        <v/>
      </c>
    </row>
    <row r="64">
      <c r="A64" t="n">
        <v>59</v>
      </c>
      <c r="B64">
        <f>MOD(J63*J63-B63-Gx,prime)</f>
        <v/>
      </c>
      <c r="C64">
        <f>MOD(J63*(Gx-B64)-Gy,prime)</f>
        <v/>
      </c>
      <c r="D64">
        <f>MOD(C64*C64,prime)</f>
        <v/>
      </c>
      <c r="E64">
        <f>MOD(B64^3+a*B64+b,prime)</f>
        <v/>
      </c>
      <c r="G64">
        <f>MOD(Gy-C64,prime)</f>
        <v/>
      </c>
      <c r="H64">
        <f>MOD(Gx-B64,prime)</f>
        <v/>
      </c>
      <c r="I64">
        <f>IF(SUMPRODUCT((MOD(MOD(H64,prime)*ROW($A$1:$A$313),prime)=1)*(ROW($A$1:$A$313)&lt;prime)*ROW($A$1:$A$313))=0,NA(),SUMPRODUCT((MOD(MOD(H64,prime)*ROW($A$1:$A$313),prime)=1)*(ROW($A$1:$A$313)&lt;prime)*ROW($A$1:$A$313)))</f>
        <v/>
      </c>
      <c r="J64">
        <f>MOD(G64*I64,prime)</f>
        <v/>
      </c>
    </row>
    <row r="65">
      <c r="A65" t="n">
        <v>60</v>
      </c>
      <c r="B65">
        <f>MOD(J64*J64-B64-Gx,prime)</f>
        <v/>
      </c>
      <c r="C65">
        <f>MOD(J64*(Gx-B65)-Gy,prime)</f>
        <v/>
      </c>
      <c r="D65">
        <f>MOD(C65*C65,prime)</f>
        <v/>
      </c>
      <c r="E65">
        <f>MOD(B65^3+a*B65+b,prime)</f>
        <v/>
      </c>
      <c r="G65">
        <f>MOD(Gy-C65,prime)</f>
        <v/>
      </c>
      <c r="H65">
        <f>MOD(Gx-B65,prime)</f>
        <v/>
      </c>
      <c r="I65">
        <f>IF(SUMPRODUCT((MOD(MOD(H65,prime)*ROW($A$1:$A$313),prime)=1)*(ROW($A$1:$A$313)&lt;prime)*ROW($A$1:$A$313))=0,NA(),SUMPRODUCT((MOD(MOD(H65,prime)*ROW($A$1:$A$313),prime)=1)*(ROW($A$1:$A$313)&lt;prime)*ROW($A$1:$A$313)))</f>
        <v/>
      </c>
      <c r="J65">
        <f>MOD(G65*I65,prime)</f>
        <v/>
      </c>
    </row>
    <row r="66">
      <c r="A66" t="n">
        <v>61</v>
      </c>
      <c r="B66">
        <f>MOD(J65*J65-B65-Gx,prime)</f>
        <v/>
      </c>
      <c r="C66">
        <f>MOD(J65*(Gx-B66)-Gy,prime)</f>
        <v/>
      </c>
      <c r="D66">
        <f>MOD(C66*C66,prime)</f>
        <v/>
      </c>
      <c r="E66">
        <f>MOD(B66^3+a*B66+b,prime)</f>
        <v/>
      </c>
      <c r="G66">
        <f>MOD(Gy-C66,prime)</f>
        <v/>
      </c>
      <c r="H66">
        <f>MOD(Gx-B66,prime)</f>
        <v/>
      </c>
      <c r="I66">
        <f>IF(SUMPRODUCT((MOD(MOD(H66,prime)*ROW($A$1:$A$313),prime)=1)*(ROW($A$1:$A$313)&lt;prime)*ROW($A$1:$A$313))=0,NA(),SUMPRODUCT((MOD(MOD(H66,prime)*ROW($A$1:$A$313),prime)=1)*(ROW($A$1:$A$313)&lt;prime)*ROW($A$1:$A$313)))</f>
        <v/>
      </c>
      <c r="J66">
        <f>MOD(G66*I66,prime)</f>
        <v/>
      </c>
    </row>
    <row r="67">
      <c r="A67" t="n">
        <v>62</v>
      </c>
      <c r="B67">
        <f>MOD(J66*J66-B66-Gx,prime)</f>
        <v/>
      </c>
      <c r="C67">
        <f>MOD(J66*(Gx-B67)-Gy,prime)</f>
        <v/>
      </c>
      <c r="D67">
        <f>MOD(C67*C67,prime)</f>
        <v/>
      </c>
      <c r="E67">
        <f>MOD(B67^3+a*B67+b,prime)</f>
        <v/>
      </c>
      <c r="G67">
        <f>MOD(Gy-C67,prime)</f>
        <v/>
      </c>
      <c r="H67">
        <f>MOD(Gx-B67,prime)</f>
        <v/>
      </c>
      <c r="I67">
        <f>IF(SUMPRODUCT((MOD(MOD(H67,prime)*ROW($A$1:$A$313),prime)=1)*(ROW($A$1:$A$313)&lt;prime)*ROW($A$1:$A$313))=0,NA(),SUMPRODUCT((MOD(MOD(H67,prime)*ROW($A$1:$A$313),prime)=1)*(ROW($A$1:$A$313)&lt;prime)*ROW($A$1:$A$313)))</f>
        <v/>
      </c>
      <c r="J67">
        <f>MOD(G67*I67,prime)</f>
        <v/>
      </c>
    </row>
    <row r="68">
      <c r="A68" t="n">
        <v>63</v>
      </c>
      <c r="B68">
        <f>MOD(J67*J67-B67-Gx,prime)</f>
        <v/>
      </c>
      <c r="C68">
        <f>MOD(J67*(Gx-B68)-Gy,prime)</f>
        <v/>
      </c>
      <c r="D68">
        <f>MOD(C68*C68,prime)</f>
        <v/>
      </c>
      <c r="E68">
        <f>MOD(B68^3+a*B68+b,prime)</f>
        <v/>
      </c>
      <c r="G68">
        <f>MOD(Gy-C68,prime)</f>
        <v/>
      </c>
      <c r="H68">
        <f>MOD(Gx-B68,prime)</f>
        <v/>
      </c>
      <c r="I68">
        <f>IF(SUMPRODUCT((MOD(MOD(H68,prime)*ROW($A$1:$A$313),prime)=1)*(ROW($A$1:$A$313)&lt;prime)*ROW($A$1:$A$313))=0,NA(),SUMPRODUCT((MOD(MOD(H68,prime)*ROW($A$1:$A$313),prime)=1)*(ROW($A$1:$A$313)&lt;prime)*ROW($A$1:$A$313)))</f>
        <v/>
      </c>
      <c r="J68">
        <f>MOD(G68*I68,prime)</f>
        <v/>
      </c>
    </row>
    <row r="69">
      <c r="A69" t="n">
        <v>64</v>
      </c>
      <c r="B69">
        <f>MOD(J68*J68-B68-Gx,prime)</f>
        <v/>
      </c>
      <c r="C69">
        <f>MOD(J68*(Gx-B69)-Gy,prime)</f>
        <v/>
      </c>
      <c r="D69">
        <f>MOD(C69*C69,prime)</f>
        <v/>
      </c>
      <c r="E69">
        <f>MOD(B69^3+a*B69+b,prime)</f>
        <v/>
      </c>
      <c r="G69">
        <f>MOD(Gy-C69,prime)</f>
        <v/>
      </c>
      <c r="H69">
        <f>MOD(Gx-B69,prime)</f>
        <v/>
      </c>
      <c r="I69">
        <f>IF(SUMPRODUCT((MOD(MOD(H69,prime)*ROW($A$1:$A$313),prime)=1)*(ROW($A$1:$A$313)&lt;prime)*ROW($A$1:$A$313))=0,NA(),SUMPRODUCT((MOD(MOD(H69,prime)*ROW($A$1:$A$313),prime)=1)*(ROW($A$1:$A$313)&lt;prime)*ROW($A$1:$A$313)))</f>
        <v/>
      </c>
      <c r="J69">
        <f>MOD(G69*I69,prime)</f>
        <v/>
      </c>
    </row>
    <row r="70">
      <c r="A70" t="n">
        <v>65</v>
      </c>
      <c r="B70">
        <f>MOD(J69*J69-B69-Gx,prime)</f>
        <v/>
      </c>
      <c r="C70">
        <f>MOD(J69*(Gx-B70)-Gy,prime)</f>
        <v/>
      </c>
      <c r="D70">
        <f>MOD(C70*C70,prime)</f>
        <v/>
      </c>
      <c r="E70">
        <f>MOD(B70^3+a*B70+b,prime)</f>
        <v/>
      </c>
      <c r="G70">
        <f>MOD(Gy-C70,prime)</f>
        <v/>
      </c>
      <c r="H70">
        <f>MOD(Gx-B70,prime)</f>
        <v/>
      </c>
      <c r="I70">
        <f>IF(SUMPRODUCT((MOD(MOD(H70,prime)*ROW($A$1:$A$313),prime)=1)*(ROW($A$1:$A$313)&lt;prime)*ROW($A$1:$A$313))=0,NA(),SUMPRODUCT((MOD(MOD(H70,prime)*ROW($A$1:$A$313),prime)=1)*(ROW($A$1:$A$313)&lt;prime)*ROW($A$1:$A$313)))</f>
        <v/>
      </c>
      <c r="J70">
        <f>MOD(G70*I70,prime)</f>
        <v/>
      </c>
    </row>
    <row r="71">
      <c r="A71" t="n">
        <v>66</v>
      </c>
      <c r="B71">
        <f>MOD(J70*J70-B70-Gx,prime)</f>
        <v/>
      </c>
      <c r="C71">
        <f>MOD(J70*(Gx-B71)-Gy,prime)</f>
        <v/>
      </c>
      <c r="D71">
        <f>MOD(C71*C71,prime)</f>
        <v/>
      </c>
      <c r="E71">
        <f>MOD(B71^3+a*B71+b,prime)</f>
        <v/>
      </c>
      <c r="G71">
        <f>MOD(Gy-C71,prime)</f>
        <v/>
      </c>
      <c r="H71">
        <f>MOD(Gx-B71,prime)</f>
        <v/>
      </c>
      <c r="I71">
        <f>IF(SUMPRODUCT((MOD(MOD(H71,prime)*ROW($A$1:$A$313),prime)=1)*(ROW($A$1:$A$313)&lt;prime)*ROW($A$1:$A$313))=0,NA(),SUMPRODUCT((MOD(MOD(H71,prime)*ROW($A$1:$A$313),prime)=1)*(ROW($A$1:$A$313)&lt;prime)*ROW($A$1:$A$313)))</f>
        <v/>
      </c>
      <c r="J71">
        <f>MOD(G71*I71,prime)</f>
        <v/>
      </c>
    </row>
    <row r="72">
      <c r="A72" t="n">
        <v>67</v>
      </c>
      <c r="B72">
        <f>MOD(J71*J71-B71-Gx,prime)</f>
        <v/>
      </c>
      <c r="C72">
        <f>MOD(J71*(Gx-B72)-Gy,prime)</f>
        <v/>
      </c>
      <c r="D72">
        <f>MOD(C72*C72,prime)</f>
        <v/>
      </c>
      <c r="E72">
        <f>MOD(B72^3+a*B72+b,prime)</f>
        <v/>
      </c>
      <c r="G72">
        <f>MOD(Gy-C72,prime)</f>
        <v/>
      </c>
      <c r="H72">
        <f>MOD(Gx-B72,prime)</f>
        <v/>
      </c>
      <c r="I72">
        <f>IF(SUMPRODUCT((MOD(MOD(H72,prime)*ROW($A$1:$A$313),prime)=1)*(ROW($A$1:$A$313)&lt;prime)*ROW($A$1:$A$313))=0,NA(),SUMPRODUCT((MOD(MOD(H72,prime)*ROW($A$1:$A$313),prime)=1)*(ROW($A$1:$A$313)&lt;prime)*ROW($A$1:$A$313)))</f>
        <v/>
      </c>
      <c r="J72">
        <f>MOD(G72*I72,prime)</f>
        <v/>
      </c>
    </row>
    <row r="73">
      <c r="A73" t="n">
        <v>68</v>
      </c>
      <c r="B73">
        <f>MOD(J72*J72-B72-Gx,prime)</f>
        <v/>
      </c>
      <c r="C73">
        <f>MOD(J72*(Gx-B73)-Gy,prime)</f>
        <v/>
      </c>
      <c r="D73">
        <f>MOD(C73*C73,prime)</f>
        <v/>
      </c>
      <c r="E73">
        <f>MOD(B73^3+a*B73+b,prime)</f>
        <v/>
      </c>
      <c r="G73">
        <f>MOD(Gy-C73,prime)</f>
        <v/>
      </c>
      <c r="H73">
        <f>MOD(Gx-B73,prime)</f>
        <v/>
      </c>
      <c r="I73">
        <f>IF(SUMPRODUCT((MOD(MOD(H73,prime)*ROW($A$1:$A$313),prime)=1)*(ROW($A$1:$A$313)&lt;prime)*ROW($A$1:$A$313))=0,NA(),SUMPRODUCT((MOD(MOD(H73,prime)*ROW($A$1:$A$313),prime)=1)*(ROW($A$1:$A$313)&lt;prime)*ROW($A$1:$A$313)))</f>
        <v/>
      </c>
      <c r="J73">
        <f>MOD(G73*I73,prime)</f>
        <v/>
      </c>
    </row>
    <row r="74">
      <c r="A74" t="n">
        <v>69</v>
      </c>
      <c r="B74">
        <f>MOD(J73*J73-B73-Gx,prime)</f>
        <v/>
      </c>
      <c r="C74">
        <f>MOD(J73*(Gx-B74)-Gy,prime)</f>
        <v/>
      </c>
      <c r="D74">
        <f>MOD(C74*C74,prime)</f>
        <v/>
      </c>
      <c r="E74">
        <f>MOD(B74^3+a*B74+b,prime)</f>
        <v/>
      </c>
      <c r="G74">
        <f>MOD(Gy-C74,prime)</f>
        <v/>
      </c>
      <c r="H74">
        <f>MOD(Gx-B74,prime)</f>
        <v/>
      </c>
      <c r="I74">
        <f>IF(SUMPRODUCT((MOD(MOD(H74,prime)*ROW($A$1:$A$313),prime)=1)*(ROW($A$1:$A$313)&lt;prime)*ROW($A$1:$A$313))=0,NA(),SUMPRODUCT((MOD(MOD(H74,prime)*ROW($A$1:$A$313),prime)=1)*(ROW($A$1:$A$313)&lt;prime)*ROW($A$1:$A$313)))</f>
        <v/>
      </c>
      <c r="J74">
        <f>MOD(G74*I74,prime)</f>
        <v/>
      </c>
    </row>
    <row r="75">
      <c r="A75" t="n">
        <v>70</v>
      </c>
      <c r="B75">
        <f>MOD(J74*J74-B74-Gx,prime)</f>
        <v/>
      </c>
      <c r="C75">
        <f>MOD(J74*(Gx-B75)-Gy,prime)</f>
        <v/>
      </c>
      <c r="D75">
        <f>MOD(C75*C75,prime)</f>
        <v/>
      </c>
      <c r="E75">
        <f>MOD(B75^3+a*B75+b,prime)</f>
        <v/>
      </c>
      <c r="G75">
        <f>MOD(Gy-C75,prime)</f>
        <v/>
      </c>
      <c r="H75">
        <f>MOD(Gx-B75,prime)</f>
        <v/>
      </c>
      <c r="I75">
        <f>IF(SUMPRODUCT((MOD(MOD(H75,prime)*ROW($A$1:$A$313),prime)=1)*(ROW($A$1:$A$313)&lt;prime)*ROW($A$1:$A$313))=0,NA(),SUMPRODUCT((MOD(MOD(H75,prime)*ROW($A$1:$A$313),prime)=1)*(ROW($A$1:$A$313)&lt;prime)*ROW($A$1:$A$313)))</f>
        <v/>
      </c>
      <c r="J75">
        <f>MOD(G75*I75,prime)</f>
        <v/>
      </c>
    </row>
    <row r="76">
      <c r="A76" t="n">
        <v>71</v>
      </c>
      <c r="B76">
        <f>MOD(J75*J75-B75-Gx,prime)</f>
        <v/>
      </c>
      <c r="C76">
        <f>MOD(J75*(Gx-B76)-Gy,prime)</f>
        <v/>
      </c>
      <c r="D76">
        <f>MOD(C76*C76,prime)</f>
        <v/>
      </c>
      <c r="E76">
        <f>MOD(B76^3+a*B76+b,prime)</f>
        <v/>
      </c>
      <c r="G76">
        <f>MOD(Gy-C76,prime)</f>
        <v/>
      </c>
      <c r="H76">
        <f>MOD(Gx-B76,prime)</f>
        <v/>
      </c>
      <c r="I76">
        <f>IF(SUMPRODUCT((MOD(MOD(H76,prime)*ROW($A$1:$A$313),prime)=1)*(ROW($A$1:$A$313)&lt;prime)*ROW($A$1:$A$313))=0,NA(),SUMPRODUCT((MOD(MOD(H76,prime)*ROW($A$1:$A$313),prime)=1)*(ROW($A$1:$A$313)&lt;prime)*ROW($A$1:$A$313)))</f>
        <v/>
      </c>
      <c r="J76">
        <f>MOD(G76*I76,prime)</f>
        <v/>
      </c>
    </row>
    <row r="77">
      <c r="A77" t="n">
        <v>72</v>
      </c>
      <c r="B77">
        <f>MOD(J76*J76-B76-Gx,prime)</f>
        <v/>
      </c>
      <c r="C77">
        <f>MOD(J76*(Gx-B77)-Gy,prime)</f>
        <v/>
      </c>
      <c r="D77">
        <f>MOD(C77*C77,prime)</f>
        <v/>
      </c>
      <c r="E77">
        <f>MOD(B77^3+a*B77+b,prime)</f>
        <v/>
      </c>
      <c r="G77">
        <f>MOD(Gy-C77,prime)</f>
        <v/>
      </c>
      <c r="H77">
        <f>MOD(Gx-B77,prime)</f>
        <v/>
      </c>
      <c r="I77">
        <f>IF(SUMPRODUCT((MOD(MOD(H77,prime)*ROW($A$1:$A$313),prime)=1)*(ROW($A$1:$A$313)&lt;prime)*ROW($A$1:$A$313))=0,NA(),SUMPRODUCT((MOD(MOD(H77,prime)*ROW($A$1:$A$313),prime)=1)*(ROW($A$1:$A$313)&lt;prime)*ROW($A$1:$A$313)))</f>
        <v/>
      </c>
      <c r="J77">
        <f>MOD(G77*I77,prime)</f>
        <v/>
      </c>
    </row>
    <row r="78">
      <c r="A78" t="n">
        <v>73</v>
      </c>
      <c r="B78">
        <f>MOD(J77*J77-B77-Gx,prime)</f>
        <v/>
      </c>
      <c r="C78">
        <f>MOD(J77*(Gx-B78)-Gy,prime)</f>
        <v/>
      </c>
      <c r="D78">
        <f>MOD(C78*C78,prime)</f>
        <v/>
      </c>
      <c r="E78">
        <f>MOD(B78^3+a*B78+b,prime)</f>
        <v/>
      </c>
      <c r="G78">
        <f>MOD(Gy-C78,prime)</f>
        <v/>
      </c>
      <c r="H78">
        <f>MOD(Gx-B78,prime)</f>
        <v/>
      </c>
      <c r="I78">
        <f>IF(SUMPRODUCT((MOD(MOD(H78,prime)*ROW($A$1:$A$313),prime)=1)*(ROW($A$1:$A$313)&lt;prime)*ROW($A$1:$A$313))=0,NA(),SUMPRODUCT((MOD(MOD(H78,prime)*ROW($A$1:$A$313),prime)=1)*(ROW($A$1:$A$313)&lt;prime)*ROW($A$1:$A$313)))</f>
        <v/>
      </c>
      <c r="J78">
        <f>MOD(G78*I78,prime)</f>
        <v/>
      </c>
    </row>
    <row r="79">
      <c r="A79" t="n">
        <v>74</v>
      </c>
      <c r="B79">
        <f>MOD(J78*J78-B78-Gx,prime)</f>
        <v/>
      </c>
      <c r="C79">
        <f>MOD(J78*(Gx-B79)-Gy,prime)</f>
        <v/>
      </c>
      <c r="D79">
        <f>MOD(C79*C79,prime)</f>
        <v/>
      </c>
      <c r="E79">
        <f>MOD(B79^3+a*B79+b,prime)</f>
        <v/>
      </c>
      <c r="G79">
        <f>MOD(Gy-C79,prime)</f>
        <v/>
      </c>
      <c r="H79">
        <f>MOD(Gx-B79,prime)</f>
        <v/>
      </c>
      <c r="I79">
        <f>IF(SUMPRODUCT((MOD(MOD(H79,prime)*ROW($A$1:$A$313),prime)=1)*(ROW($A$1:$A$313)&lt;prime)*ROW($A$1:$A$313))=0,NA(),SUMPRODUCT((MOD(MOD(H79,prime)*ROW($A$1:$A$313),prime)=1)*(ROW($A$1:$A$313)&lt;prime)*ROW($A$1:$A$313)))</f>
        <v/>
      </c>
      <c r="J79">
        <f>MOD(G79*I79,prime)</f>
        <v/>
      </c>
    </row>
    <row r="80">
      <c r="A80" t="n">
        <v>75</v>
      </c>
      <c r="B80">
        <f>MOD(J79*J79-B79-Gx,prime)</f>
        <v/>
      </c>
      <c r="C80">
        <f>MOD(J79*(Gx-B80)-Gy,prime)</f>
        <v/>
      </c>
      <c r="D80">
        <f>MOD(C80*C80,prime)</f>
        <v/>
      </c>
      <c r="E80">
        <f>MOD(B80^3+a*B80+b,prime)</f>
        <v/>
      </c>
      <c r="G80">
        <f>MOD(Gy-C80,prime)</f>
        <v/>
      </c>
      <c r="H80">
        <f>MOD(Gx-B80,prime)</f>
        <v/>
      </c>
      <c r="I80">
        <f>IF(SUMPRODUCT((MOD(MOD(H80,prime)*ROW($A$1:$A$313),prime)=1)*(ROW($A$1:$A$313)&lt;prime)*ROW($A$1:$A$313))=0,NA(),SUMPRODUCT((MOD(MOD(H80,prime)*ROW($A$1:$A$313),prime)=1)*(ROW($A$1:$A$313)&lt;prime)*ROW($A$1:$A$313)))</f>
        <v/>
      </c>
      <c r="J80">
        <f>MOD(G80*I80,prime)</f>
        <v/>
      </c>
    </row>
    <row r="81">
      <c r="A81" t="n">
        <v>76</v>
      </c>
      <c r="B81">
        <f>MOD(J80*J80-B80-Gx,prime)</f>
        <v/>
      </c>
      <c r="C81">
        <f>MOD(J80*(Gx-B81)-Gy,prime)</f>
        <v/>
      </c>
      <c r="D81">
        <f>MOD(C81*C81,prime)</f>
        <v/>
      </c>
      <c r="E81">
        <f>MOD(B81^3+a*B81+b,prime)</f>
        <v/>
      </c>
      <c r="G81">
        <f>MOD(Gy-C81,prime)</f>
        <v/>
      </c>
      <c r="H81">
        <f>MOD(Gx-B81,prime)</f>
        <v/>
      </c>
      <c r="I81">
        <f>IF(SUMPRODUCT((MOD(MOD(H81,prime)*ROW($A$1:$A$313),prime)=1)*(ROW($A$1:$A$313)&lt;prime)*ROW($A$1:$A$313))=0,NA(),SUMPRODUCT((MOD(MOD(H81,prime)*ROW($A$1:$A$313),prime)=1)*(ROW($A$1:$A$313)&lt;prime)*ROW($A$1:$A$313)))</f>
        <v/>
      </c>
      <c r="J81">
        <f>MOD(G81*I81,prime)</f>
        <v/>
      </c>
    </row>
    <row r="82">
      <c r="A82" t="n">
        <v>77</v>
      </c>
      <c r="B82">
        <f>MOD(J81*J81-B81-Gx,prime)</f>
        <v/>
      </c>
      <c r="C82">
        <f>MOD(J81*(Gx-B82)-Gy,prime)</f>
        <v/>
      </c>
      <c r="D82">
        <f>MOD(C82*C82,prime)</f>
        <v/>
      </c>
      <c r="E82">
        <f>MOD(B82^3+a*B82+b,prime)</f>
        <v/>
      </c>
      <c r="G82">
        <f>MOD(Gy-C82,prime)</f>
        <v/>
      </c>
      <c r="H82">
        <f>MOD(Gx-B82,prime)</f>
        <v/>
      </c>
      <c r="I82">
        <f>IF(SUMPRODUCT((MOD(MOD(H82,prime)*ROW($A$1:$A$313),prime)=1)*(ROW($A$1:$A$313)&lt;prime)*ROW($A$1:$A$313))=0,NA(),SUMPRODUCT((MOD(MOD(H82,prime)*ROW($A$1:$A$313),prime)=1)*(ROW($A$1:$A$313)&lt;prime)*ROW($A$1:$A$313)))</f>
        <v/>
      </c>
      <c r="J82">
        <f>MOD(G82*I82,prime)</f>
        <v/>
      </c>
    </row>
    <row r="83">
      <c r="A83" t="n">
        <v>78</v>
      </c>
      <c r="B83">
        <f>MOD(J82*J82-B82-Gx,prime)</f>
        <v/>
      </c>
      <c r="C83">
        <f>MOD(J82*(Gx-B83)-Gy,prime)</f>
        <v/>
      </c>
      <c r="D83">
        <f>MOD(C83*C83,prime)</f>
        <v/>
      </c>
      <c r="E83">
        <f>MOD(B83^3+a*B83+b,prime)</f>
        <v/>
      </c>
      <c r="G83">
        <f>MOD(Gy-C83,prime)</f>
        <v/>
      </c>
      <c r="H83">
        <f>MOD(Gx-B83,prime)</f>
        <v/>
      </c>
      <c r="I83">
        <f>IF(SUMPRODUCT((MOD(MOD(H83,prime)*ROW($A$1:$A$313),prime)=1)*(ROW($A$1:$A$313)&lt;prime)*ROW($A$1:$A$313))=0,NA(),SUMPRODUCT((MOD(MOD(H83,prime)*ROW($A$1:$A$313),prime)=1)*(ROW($A$1:$A$313)&lt;prime)*ROW($A$1:$A$313)))</f>
        <v/>
      </c>
      <c r="J83">
        <f>MOD(G83*I83,prime)</f>
        <v/>
      </c>
    </row>
    <row r="84">
      <c r="A84" t="n">
        <v>79</v>
      </c>
      <c r="B84">
        <f>MOD(J83*J83-B83-Gx,prime)</f>
        <v/>
      </c>
      <c r="C84">
        <f>MOD(J83*(Gx-B84)-Gy,prime)</f>
        <v/>
      </c>
      <c r="D84">
        <f>MOD(C84*C84,prime)</f>
        <v/>
      </c>
      <c r="E84">
        <f>MOD(B84^3+a*B84+b,prime)</f>
        <v/>
      </c>
      <c r="G84">
        <f>MOD(Gy-C84,prime)</f>
        <v/>
      </c>
      <c r="H84">
        <f>MOD(Gx-B84,prime)</f>
        <v/>
      </c>
      <c r="I84">
        <f>IF(SUMPRODUCT((MOD(MOD(H84,prime)*ROW($A$1:$A$313),prime)=1)*(ROW($A$1:$A$313)&lt;prime)*ROW($A$1:$A$313))=0,NA(),SUMPRODUCT((MOD(MOD(H84,prime)*ROW($A$1:$A$313),prime)=1)*(ROW($A$1:$A$313)&lt;prime)*ROW($A$1:$A$313)))</f>
        <v/>
      </c>
      <c r="J84">
        <f>MOD(G84*I84,prime)</f>
        <v/>
      </c>
    </row>
    <row r="85">
      <c r="A85" t="n">
        <v>80</v>
      </c>
      <c r="B85">
        <f>MOD(J84*J84-B84-Gx,prime)</f>
        <v/>
      </c>
      <c r="C85">
        <f>MOD(J84*(Gx-B85)-Gy,prime)</f>
        <v/>
      </c>
      <c r="D85">
        <f>MOD(C85*C85,prime)</f>
        <v/>
      </c>
      <c r="E85">
        <f>MOD(B85^3+a*B85+b,prime)</f>
        <v/>
      </c>
      <c r="G85">
        <f>MOD(Gy-C85,prime)</f>
        <v/>
      </c>
      <c r="H85">
        <f>MOD(Gx-B85,prime)</f>
        <v/>
      </c>
      <c r="I85">
        <f>IF(SUMPRODUCT((MOD(MOD(H85,prime)*ROW($A$1:$A$313),prime)=1)*(ROW($A$1:$A$313)&lt;prime)*ROW($A$1:$A$313))=0,NA(),SUMPRODUCT((MOD(MOD(H85,prime)*ROW($A$1:$A$313),prime)=1)*(ROW($A$1:$A$313)&lt;prime)*ROW($A$1:$A$313)))</f>
        <v/>
      </c>
      <c r="J85">
        <f>MOD(G85*I85,prime)</f>
        <v/>
      </c>
    </row>
    <row r="86">
      <c r="A86" t="n">
        <v>81</v>
      </c>
      <c r="B86">
        <f>MOD(J85*J85-B85-Gx,prime)</f>
        <v/>
      </c>
      <c r="C86">
        <f>MOD(J85*(Gx-B86)-Gy,prime)</f>
        <v/>
      </c>
      <c r="D86">
        <f>MOD(C86*C86,prime)</f>
        <v/>
      </c>
      <c r="E86">
        <f>MOD(B86^3+a*B86+b,prime)</f>
        <v/>
      </c>
      <c r="G86">
        <f>MOD(Gy-C86,prime)</f>
        <v/>
      </c>
      <c r="H86">
        <f>MOD(Gx-B86,prime)</f>
        <v/>
      </c>
      <c r="I86">
        <f>IF(SUMPRODUCT((MOD(MOD(H86,prime)*ROW($A$1:$A$313),prime)=1)*(ROW($A$1:$A$313)&lt;prime)*ROW($A$1:$A$313))=0,NA(),SUMPRODUCT((MOD(MOD(H86,prime)*ROW($A$1:$A$313),prime)=1)*(ROW($A$1:$A$313)&lt;prime)*ROW($A$1:$A$313)))</f>
        <v/>
      </c>
      <c r="J86">
        <f>MOD(G86*I86,prime)</f>
        <v/>
      </c>
    </row>
    <row r="87">
      <c r="A87" t="n">
        <v>82</v>
      </c>
      <c r="B87">
        <f>MOD(J86*J86-B86-Gx,prime)</f>
        <v/>
      </c>
      <c r="C87">
        <f>MOD(J86*(Gx-B87)-Gy,prime)</f>
        <v/>
      </c>
      <c r="D87">
        <f>MOD(C87*C87,prime)</f>
        <v/>
      </c>
      <c r="E87">
        <f>MOD(B87^3+a*B87+b,prime)</f>
        <v/>
      </c>
      <c r="G87">
        <f>MOD(Gy-C87,prime)</f>
        <v/>
      </c>
      <c r="H87">
        <f>MOD(Gx-B87,prime)</f>
        <v/>
      </c>
      <c r="I87">
        <f>IF(SUMPRODUCT((MOD(MOD(H87,prime)*ROW($A$1:$A$313),prime)=1)*(ROW($A$1:$A$313)&lt;prime)*ROW($A$1:$A$313))=0,NA(),SUMPRODUCT((MOD(MOD(H87,prime)*ROW($A$1:$A$313),prime)=1)*(ROW($A$1:$A$313)&lt;prime)*ROW($A$1:$A$313)))</f>
        <v/>
      </c>
      <c r="J87">
        <f>MOD(G87*I87,prime)</f>
        <v/>
      </c>
    </row>
    <row r="88">
      <c r="A88" t="n">
        <v>83</v>
      </c>
      <c r="B88">
        <f>MOD(J87*J87-B87-Gx,prime)</f>
        <v/>
      </c>
      <c r="C88">
        <f>MOD(J87*(Gx-B88)-Gy,prime)</f>
        <v/>
      </c>
      <c r="D88">
        <f>MOD(C88*C88,prime)</f>
        <v/>
      </c>
      <c r="E88">
        <f>MOD(B88^3+a*B88+b,prime)</f>
        <v/>
      </c>
      <c r="G88">
        <f>MOD(Gy-C88,prime)</f>
        <v/>
      </c>
      <c r="H88">
        <f>MOD(Gx-B88,prime)</f>
        <v/>
      </c>
      <c r="I88">
        <f>IF(SUMPRODUCT((MOD(MOD(H88,prime)*ROW($A$1:$A$313),prime)=1)*(ROW($A$1:$A$313)&lt;prime)*ROW($A$1:$A$313))=0,NA(),SUMPRODUCT((MOD(MOD(H88,prime)*ROW($A$1:$A$313),prime)=1)*(ROW($A$1:$A$313)&lt;prime)*ROW($A$1:$A$313)))</f>
        <v/>
      </c>
      <c r="J88">
        <f>MOD(G88*I88,prime)</f>
        <v/>
      </c>
    </row>
    <row r="89">
      <c r="A89" t="n">
        <v>84</v>
      </c>
      <c r="B89">
        <f>MOD(J88*J88-B88-Gx,prime)</f>
        <v/>
      </c>
      <c r="C89">
        <f>MOD(J88*(Gx-B89)-Gy,prime)</f>
        <v/>
      </c>
      <c r="D89">
        <f>MOD(C89*C89,prime)</f>
        <v/>
      </c>
      <c r="E89">
        <f>MOD(B89^3+a*B89+b,prime)</f>
        <v/>
      </c>
      <c r="G89">
        <f>MOD(Gy-C89,prime)</f>
        <v/>
      </c>
      <c r="H89">
        <f>MOD(Gx-B89,prime)</f>
        <v/>
      </c>
      <c r="I89">
        <f>IF(SUMPRODUCT((MOD(MOD(H89,prime)*ROW($A$1:$A$313),prime)=1)*(ROW($A$1:$A$313)&lt;prime)*ROW($A$1:$A$313))=0,NA(),SUMPRODUCT((MOD(MOD(H89,prime)*ROW($A$1:$A$313),prime)=1)*(ROW($A$1:$A$313)&lt;prime)*ROW($A$1:$A$313)))</f>
        <v/>
      </c>
      <c r="J89">
        <f>MOD(G89*I89,prime)</f>
        <v/>
      </c>
    </row>
    <row r="90">
      <c r="A90" t="n">
        <v>85</v>
      </c>
      <c r="B90">
        <f>MOD(J89*J89-B89-Gx,prime)</f>
        <v/>
      </c>
      <c r="C90">
        <f>MOD(J89*(Gx-B90)-Gy,prime)</f>
        <v/>
      </c>
      <c r="D90">
        <f>MOD(C90*C90,prime)</f>
        <v/>
      </c>
      <c r="E90">
        <f>MOD(B90^3+a*B90+b,prime)</f>
        <v/>
      </c>
      <c r="G90">
        <f>MOD(Gy-C90,prime)</f>
        <v/>
      </c>
      <c r="H90">
        <f>MOD(Gx-B90,prime)</f>
        <v/>
      </c>
      <c r="I90">
        <f>IF(SUMPRODUCT((MOD(MOD(H90,prime)*ROW($A$1:$A$313),prime)=1)*(ROW($A$1:$A$313)&lt;prime)*ROW($A$1:$A$313))=0,NA(),SUMPRODUCT((MOD(MOD(H90,prime)*ROW($A$1:$A$313),prime)=1)*(ROW($A$1:$A$313)&lt;prime)*ROW($A$1:$A$313)))</f>
        <v/>
      </c>
      <c r="J90">
        <f>MOD(G90*I90,prime)</f>
        <v/>
      </c>
    </row>
    <row r="91">
      <c r="A91" t="n">
        <v>86</v>
      </c>
      <c r="B91">
        <f>MOD(J90*J90-B90-Gx,prime)</f>
        <v/>
      </c>
      <c r="C91">
        <f>MOD(J90*(Gx-B91)-Gy,prime)</f>
        <v/>
      </c>
      <c r="D91">
        <f>MOD(C91*C91,prime)</f>
        <v/>
      </c>
      <c r="E91">
        <f>MOD(B91^3+a*B91+b,prime)</f>
        <v/>
      </c>
      <c r="G91">
        <f>MOD(Gy-C91,prime)</f>
        <v/>
      </c>
      <c r="H91">
        <f>MOD(Gx-B91,prime)</f>
        <v/>
      </c>
      <c r="I91">
        <f>IF(SUMPRODUCT((MOD(MOD(H91,prime)*ROW($A$1:$A$313),prime)=1)*(ROW($A$1:$A$313)&lt;prime)*ROW($A$1:$A$313))=0,NA(),SUMPRODUCT((MOD(MOD(H91,prime)*ROW($A$1:$A$313),prime)=1)*(ROW($A$1:$A$313)&lt;prime)*ROW($A$1:$A$313)))</f>
        <v/>
      </c>
      <c r="J91">
        <f>MOD(G91*I91,prime)</f>
        <v/>
      </c>
    </row>
    <row r="92">
      <c r="A92" t="n">
        <v>87</v>
      </c>
      <c r="B92">
        <f>MOD(J91*J91-B91-Gx,prime)</f>
        <v/>
      </c>
      <c r="C92">
        <f>MOD(J91*(Gx-B92)-Gy,prime)</f>
        <v/>
      </c>
      <c r="D92">
        <f>MOD(C92*C92,prime)</f>
        <v/>
      </c>
      <c r="E92">
        <f>MOD(B92^3+a*B92+b,prime)</f>
        <v/>
      </c>
      <c r="G92">
        <f>MOD(Gy-C92,prime)</f>
        <v/>
      </c>
      <c r="H92">
        <f>MOD(Gx-B92,prime)</f>
        <v/>
      </c>
      <c r="I92">
        <f>IF(SUMPRODUCT((MOD(MOD(H92,prime)*ROW($A$1:$A$313),prime)=1)*(ROW($A$1:$A$313)&lt;prime)*ROW($A$1:$A$313))=0,NA(),SUMPRODUCT((MOD(MOD(H92,prime)*ROW($A$1:$A$313),prime)=1)*(ROW($A$1:$A$313)&lt;prime)*ROW($A$1:$A$313)))</f>
        <v/>
      </c>
      <c r="J92">
        <f>MOD(G92*I92,prime)</f>
        <v/>
      </c>
    </row>
    <row r="93">
      <c r="A93" t="n">
        <v>88</v>
      </c>
      <c r="B93">
        <f>MOD(J92*J92-B92-Gx,prime)</f>
        <v/>
      </c>
      <c r="C93">
        <f>MOD(J92*(Gx-B93)-Gy,prime)</f>
        <v/>
      </c>
      <c r="D93">
        <f>MOD(C93*C93,prime)</f>
        <v/>
      </c>
      <c r="E93">
        <f>MOD(B93^3+a*B93+b,prime)</f>
        <v/>
      </c>
      <c r="G93">
        <f>MOD(Gy-C93,prime)</f>
        <v/>
      </c>
      <c r="H93">
        <f>MOD(Gx-B93,prime)</f>
        <v/>
      </c>
      <c r="I93">
        <f>IF(SUMPRODUCT((MOD(MOD(H93,prime)*ROW($A$1:$A$313),prime)=1)*(ROW($A$1:$A$313)&lt;prime)*ROW($A$1:$A$313))=0,NA(),SUMPRODUCT((MOD(MOD(H93,prime)*ROW($A$1:$A$313),prime)=1)*(ROW($A$1:$A$313)&lt;prime)*ROW($A$1:$A$313)))</f>
        <v/>
      </c>
      <c r="J93">
        <f>MOD(G93*I93,prime)</f>
        <v/>
      </c>
    </row>
    <row r="94">
      <c r="A94" t="n">
        <v>89</v>
      </c>
      <c r="B94">
        <f>MOD(J93*J93-B93-Gx,prime)</f>
        <v/>
      </c>
      <c r="C94">
        <f>MOD(J93*(Gx-B94)-Gy,prime)</f>
        <v/>
      </c>
      <c r="D94">
        <f>MOD(C94*C94,prime)</f>
        <v/>
      </c>
      <c r="E94">
        <f>MOD(B94^3+a*B94+b,prime)</f>
        <v/>
      </c>
      <c r="G94">
        <f>MOD(Gy-C94,prime)</f>
        <v/>
      </c>
      <c r="H94">
        <f>MOD(Gx-B94,prime)</f>
        <v/>
      </c>
      <c r="I94">
        <f>IF(SUMPRODUCT((MOD(MOD(H94,prime)*ROW($A$1:$A$313),prime)=1)*(ROW($A$1:$A$313)&lt;prime)*ROW($A$1:$A$313))=0,NA(),SUMPRODUCT((MOD(MOD(H94,prime)*ROW($A$1:$A$313),prime)=1)*(ROW($A$1:$A$313)&lt;prime)*ROW($A$1:$A$313)))</f>
        <v/>
      </c>
      <c r="J94">
        <f>MOD(G94*I94,prime)</f>
        <v/>
      </c>
    </row>
    <row r="95">
      <c r="A95" t="n">
        <v>90</v>
      </c>
      <c r="B95">
        <f>MOD(J94*J94-B94-Gx,prime)</f>
        <v/>
      </c>
      <c r="C95">
        <f>MOD(J94*(Gx-B95)-Gy,prime)</f>
        <v/>
      </c>
      <c r="D95">
        <f>MOD(C95*C95,prime)</f>
        <v/>
      </c>
      <c r="E95">
        <f>MOD(B95^3+a*B95+b,prime)</f>
        <v/>
      </c>
      <c r="G95">
        <f>MOD(Gy-C95,prime)</f>
        <v/>
      </c>
      <c r="H95">
        <f>MOD(Gx-B95,prime)</f>
        <v/>
      </c>
      <c r="I95">
        <f>IF(SUMPRODUCT((MOD(MOD(H95,prime)*ROW($A$1:$A$313),prime)=1)*(ROW($A$1:$A$313)&lt;prime)*ROW($A$1:$A$313))=0,NA(),SUMPRODUCT((MOD(MOD(H95,prime)*ROW($A$1:$A$313),prime)=1)*(ROW($A$1:$A$313)&lt;prime)*ROW($A$1:$A$313)))</f>
        <v/>
      </c>
      <c r="J95">
        <f>MOD(G95*I95,prime)</f>
        <v/>
      </c>
    </row>
    <row r="96">
      <c r="A96" t="n">
        <v>91</v>
      </c>
      <c r="B96">
        <f>MOD(J95*J95-B95-Gx,prime)</f>
        <v/>
      </c>
      <c r="C96">
        <f>MOD(J95*(Gx-B96)-Gy,prime)</f>
        <v/>
      </c>
      <c r="D96">
        <f>MOD(C96*C96,prime)</f>
        <v/>
      </c>
      <c r="E96">
        <f>MOD(B96^3+a*B96+b,prime)</f>
        <v/>
      </c>
      <c r="G96">
        <f>MOD(Gy-C96,prime)</f>
        <v/>
      </c>
      <c r="H96">
        <f>MOD(Gx-B96,prime)</f>
        <v/>
      </c>
      <c r="I96">
        <f>IF(SUMPRODUCT((MOD(MOD(H96,prime)*ROW($A$1:$A$313),prime)=1)*(ROW($A$1:$A$313)&lt;prime)*ROW($A$1:$A$313))=0,NA(),SUMPRODUCT((MOD(MOD(H96,prime)*ROW($A$1:$A$313),prime)=1)*(ROW($A$1:$A$313)&lt;prime)*ROW($A$1:$A$313)))</f>
        <v/>
      </c>
      <c r="J96">
        <f>MOD(G96*I96,prime)</f>
        <v/>
      </c>
    </row>
    <row r="97">
      <c r="A97" t="n">
        <v>92</v>
      </c>
      <c r="B97">
        <f>MOD(J96*J96-B96-Gx,prime)</f>
        <v/>
      </c>
      <c r="C97">
        <f>MOD(J96*(Gx-B97)-Gy,prime)</f>
        <v/>
      </c>
      <c r="D97">
        <f>MOD(C97*C97,prime)</f>
        <v/>
      </c>
      <c r="E97">
        <f>MOD(B97^3+a*B97+b,prime)</f>
        <v/>
      </c>
      <c r="G97">
        <f>MOD(Gy-C97,prime)</f>
        <v/>
      </c>
      <c r="H97">
        <f>MOD(Gx-B97,prime)</f>
        <v/>
      </c>
      <c r="I97">
        <f>IF(SUMPRODUCT((MOD(MOD(H97,prime)*ROW($A$1:$A$313),prime)=1)*(ROW($A$1:$A$313)&lt;prime)*ROW($A$1:$A$313))=0,NA(),SUMPRODUCT((MOD(MOD(H97,prime)*ROW($A$1:$A$313),prime)=1)*(ROW($A$1:$A$313)&lt;prime)*ROW($A$1:$A$313)))</f>
        <v/>
      </c>
      <c r="J97">
        <f>MOD(G97*I97,prime)</f>
        <v/>
      </c>
    </row>
    <row r="98">
      <c r="A98" t="n">
        <v>93</v>
      </c>
      <c r="B98">
        <f>MOD(J97*J97-B97-Gx,prime)</f>
        <v/>
      </c>
      <c r="C98">
        <f>MOD(J97*(Gx-B98)-Gy,prime)</f>
        <v/>
      </c>
      <c r="D98">
        <f>MOD(C98*C98,prime)</f>
        <v/>
      </c>
      <c r="E98">
        <f>MOD(B98^3+a*B98+b,prime)</f>
        <v/>
      </c>
      <c r="G98">
        <f>MOD(Gy-C98,prime)</f>
        <v/>
      </c>
      <c r="H98">
        <f>MOD(Gx-B98,prime)</f>
        <v/>
      </c>
      <c r="I98">
        <f>IF(SUMPRODUCT((MOD(MOD(H98,prime)*ROW($A$1:$A$313),prime)=1)*(ROW($A$1:$A$313)&lt;prime)*ROW($A$1:$A$313))=0,NA(),SUMPRODUCT((MOD(MOD(H98,prime)*ROW($A$1:$A$313),prime)=1)*(ROW($A$1:$A$313)&lt;prime)*ROW($A$1:$A$313)))</f>
        <v/>
      </c>
      <c r="J98">
        <f>MOD(G98*I98,prime)</f>
        <v/>
      </c>
    </row>
    <row r="99">
      <c r="A99" t="n">
        <v>94</v>
      </c>
      <c r="B99">
        <f>MOD(J98*J98-B98-Gx,prime)</f>
        <v/>
      </c>
      <c r="C99">
        <f>MOD(J98*(Gx-B99)-Gy,prime)</f>
        <v/>
      </c>
      <c r="D99">
        <f>MOD(C99*C99,prime)</f>
        <v/>
      </c>
      <c r="E99">
        <f>MOD(B99^3+a*B99+b,prime)</f>
        <v/>
      </c>
      <c r="G99">
        <f>MOD(Gy-C99,prime)</f>
        <v/>
      </c>
      <c r="H99">
        <f>MOD(Gx-B99,prime)</f>
        <v/>
      </c>
      <c r="I99">
        <f>IF(SUMPRODUCT((MOD(MOD(H99,prime)*ROW($A$1:$A$313),prime)=1)*(ROW($A$1:$A$313)&lt;prime)*ROW($A$1:$A$313))=0,NA(),SUMPRODUCT((MOD(MOD(H99,prime)*ROW($A$1:$A$313),prime)=1)*(ROW($A$1:$A$313)&lt;prime)*ROW($A$1:$A$313)))</f>
        <v/>
      </c>
      <c r="J99">
        <f>MOD(G99*I99,prime)</f>
        <v/>
      </c>
    </row>
    <row r="100">
      <c r="A100" t="n">
        <v>95</v>
      </c>
      <c r="B100">
        <f>MOD(J99*J99-B99-Gx,prime)</f>
        <v/>
      </c>
      <c r="C100">
        <f>MOD(J99*(Gx-B100)-Gy,prime)</f>
        <v/>
      </c>
      <c r="D100">
        <f>MOD(C100*C100,prime)</f>
        <v/>
      </c>
      <c r="E100">
        <f>MOD(B100^3+a*B100+b,prime)</f>
        <v/>
      </c>
      <c r="G100">
        <f>MOD(Gy-C100,prime)</f>
        <v/>
      </c>
      <c r="H100">
        <f>MOD(Gx-B100,prime)</f>
        <v/>
      </c>
      <c r="I100">
        <f>IF(SUMPRODUCT((MOD(MOD(H100,prime)*ROW($A$1:$A$313),prime)=1)*(ROW($A$1:$A$313)&lt;prime)*ROW($A$1:$A$313))=0,NA(),SUMPRODUCT((MOD(MOD(H100,prime)*ROW($A$1:$A$313),prime)=1)*(ROW($A$1:$A$313)&lt;prime)*ROW($A$1:$A$313)))</f>
        <v/>
      </c>
      <c r="J100">
        <f>MOD(G100*I100,prime)</f>
        <v/>
      </c>
    </row>
    <row r="101">
      <c r="A101" t="n">
        <v>96</v>
      </c>
      <c r="B101">
        <f>MOD(J100*J100-B100-Gx,prime)</f>
        <v/>
      </c>
      <c r="C101">
        <f>MOD(J100*(Gx-B101)-Gy,prime)</f>
        <v/>
      </c>
      <c r="D101">
        <f>MOD(C101*C101,prime)</f>
        <v/>
      </c>
      <c r="E101">
        <f>MOD(B101^3+a*B101+b,prime)</f>
        <v/>
      </c>
      <c r="G101">
        <f>MOD(Gy-C101,prime)</f>
        <v/>
      </c>
      <c r="H101">
        <f>MOD(Gx-B101,prime)</f>
        <v/>
      </c>
      <c r="I101">
        <f>IF(SUMPRODUCT((MOD(MOD(H101,prime)*ROW($A$1:$A$313),prime)=1)*(ROW($A$1:$A$313)&lt;prime)*ROW($A$1:$A$313))=0,NA(),SUMPRODUCT((MOD(MOD(H101,prime)*ROW($A$1:$A$313),prime)=1)*(ROW($A$1:$A$313)&lt;prime)*ROW($A$1:$A$313)))</f>
        <v/>
      </c>
      <c r="J101">
        <f>MOD(G101*I101,prime)</f>
        <v/>
      </c>
    </row>
    <row r="102">
      <c r="A102" t="n">
        <v>97</v>
      </c>
      <c r="B102">
        <f>MOD(J101*J101-B101-Gx,prime)</f>
        <v/>
      </c>
      <c r="C102">
        <f>MOD(J101*(Gx-B102)-Gy,prime)</f>
        <v/>
      </c>
      <c r="D102">
        <f>MOD(C102*C102,prime)</f>
        <v/>
      </c>
      <c r="E102">
        <f>MOD(B102^3+a*B102+b,prime)</f>
        <v/>
      </c>
      <c r="G102">
        <f>MOD(Gy-C102,prime)</f>
        <v/>
      </c>
      <c r="H102">
        <f>MOD(Gx-B102,prime)</f>
        <v/>
      </c>
      <c r="I102">
        <f>IF(SUMPRODUCT((MOD(MOD(H102,prime)*ROW($A$1:$A$313),prime)=1)*(ROW($A$1:$A$313)&lt;prime)*ROW($A$1:$A$313))=0,NA(),SUMPRODUCT((MOD(MOD(H102,prime)*ROW($A$1:$A$313),prime)=1)*(ROW($A$1:$A$313)&lt;prime)*ROW($A$1:$A$313)))</f>
        <v/>
      </c>
      <c r="J102">
        <f>MOD(G102*I102,prime)</f>
        <v/>
      </c>
    </row>
    <row r="103">
      <c r="A103" t="n">
        <v>98</v>
      </c>
      <c r="B103">
        <f>MOD(J102*J102-B102-Gx,prime)</f>
        <v/>
      </c>
      <c r="C103">
        <f>MOD(J102*(Gx-B103)-Gy,prime)</f>
        <v/>
      </c>
      <c r="D103">
        <f>MOD(C103*C103,prime)</f>
        <v/>
      </c>
      <c r="E103">
        <f>MOD(B103^3+a*B103+b,prime)</f>
        <v/>
      </c>
      <c r="G103">
        <f>MOD(Gy-C103,prime)</f>
        <v/>
      </c>
      <c r="H103">
        <f>MOD(Gx-B103,prime)</f>
        <v/>
      </c>
      <c r="I103">
        <f>IF(SUMPRODUCT((MOD(MOD(H103,prime)*ROW($A$1:$A$313),prime)=1)*(ROW($A$1:$A$313)&lt;prime)*ROW($A$1:$A$313))=0,NA(),SUMPRODUCT((MOD(MOD(H103,prime)*ROW($A$1:$A$313),prime)=1)*(ROW($A$1:$A$313)&lt;prime)*ROW($A$1:$A$313)))</f>
        <v/>
      </c>
      <c r="J103">
        <f>MOD(G103*I103,prime)</f>
        <v/>
      </c>
    </row>
    <row r="104">
      <c r="A104" t="n">
        <v>99</v>
      </c>
      <c r="B104">
        <f>MOD(J103*J103-B103-Gx,prime)</f>
        <v/>
      </c>
      <c r="C104">
        <f>MOD(J103*(Gx-B104)-Gy,prime)</f>
        <v/>
      </c>
      <c r="D104">
        <f>MOD(C104*C104,prime)</f>
        <v/>
      </c>
      <c r="E104">
        <f>MOD(B104^3+a*B104+b,prime)</f>
        <v/>
      </c>
      <c r="G104">
        <f>MOD(Gy-C104,prime)</f>
        <v/>
      </c>
      <c r="H104">
        <f>MOD(Gx-B104,prime)</f>
        <v/>
      </c>
      <c r="I104">
        <f>IF(SUMPRODUCT((MOD(MOD(H104,prime)*ROW($A$1:$A$313),prime)=1)*(ROW($A$1:$A$313)&lt;prime)*ROW($A$1:$A$313))=0,NA(),SUMPRODUCT((MOD(MOD(H104,prime)*ROW($A$1:$A$313),prime)=1)*(ROW($A$1:$A$313)&lt;prime)*ROW($A$1:$A$313)))</f>
        <v/>
      </c>
      <c r="J104">
        <f>MOD(G104*I104,prime)</f>
        <v/>
      </c>
    </row>
    <row r="105">
      <c r="A105" t="n">
        <v>100</v>
      </c>
      <c r="B105">
        <f>MOD(J104*J104-B104-Gx,prime)</f>
        <v/>
      </c>
      <c r="C105">
        <f>MOD(J104*(Gx-B105)-Gy,prime)</f>
        <v/>
      </c>
      <c r="D105">
        <f>MOD(C105*C105,prime)</f>
        <v/>
      </c>
      <c r="E105">
        <f>MOD(B105^3+a*B105+b,prime)</f>
        <v/>
      </c>
      <c r="G105">
        <f>MOD(Gy-C105,prime)</f>
        <v/>
      </c>
      <c r="H105">
        <f>MOD(Gx-B105,prime)</f>
        <v/>
      </c>
      <c r="I105">
        <f>IF(SUMPRODUCT((MOD(MOD(H105,prime)*ROW($A$1:$A$313),prime)=1)*(ROW($A$1:$A$313)&lt;prime)*ROW($A$1:$A$313))=0,NA(),SUMPRODUCT((MOD(MOD(H105,prime)*ROW($A$1:$A$313),prime)=1)*(ROW($A$1:$A$313)&lt;prime)*ROW($A$1:$A$313)))</f>
        <v/>
      </c>
      <c r="J105">
        <f>MOD(G105*I105,prime)</f>
        <v/>
      </c>
    </row>
    <row r="106">
      <c r="A106" t="n">
        <v>101</v>
      </c>
      <c r="B106">
        <f>MOD(J105*J105-B105-Gx,prime)</f>
        <v/>
      </c>
      <c r="C106">
        <f>MOD(J105*(Gx-B106)-Gy,prime)</f>
        <v/>
      </c>
      <c r="D106">
        <f>MOD(C106*C106,prime)</f>
        <v/>
      </c>
      <c r="E106">
        <f>MOD(B106^3+a*B106+b,prime)</f>
        <v/>
      </c>
      <c r="G106">
        <f>MOD(Gy-C106,prime)</f>
        <v/>
      </c>
      <c r="H106">
        <f>MOD(Gx-B106,prime)</f>
        <v/>
      </c>
      <c r="I106">
        <f>IF(SUMPRODUCT((MOD(MOD(H106,prime)*ROW($A$1:$A$313),prime)=1)*(ROW($A$1:$A$313)&lt;prime)*ROW($A$1:$A$313))=0,NA(),SUMPRODUCT((MOD(MOD(H106,prime)*ROW($A$1:$A$313),prime)=1)*(ROW($A$1:$A$313)&lt;prime)*ROW($A$1:$A$313)))</f>
        <v/>
      </c>
      <c r="J106">
        <f>MOD(G106*I106,prime)</f>
        <v/>
      </c>
    </row>
    <row r="107">
      <c r="A107" t="n">
        <v>102</v>
      </c>
      <c r="B107">
        <f>MOD(J106*J106-B106-Gx,prime)</f>
        <v/>
      </c>
      <c r="C107">
        <f>MOD(J106*(Gx-B107)-Gy,prime)</f>
        <v/>
      </c>
      <c r="D107">
        <f>MOD(C107*C107,prime)</f>
        <v/>
      </c>
      <c r="E107">
        <f>MOD(B107^3+a*B107+b,prime)</f>
        <v/>
      </c>
      <c r="G107">
        <f>MOD(Gy-C107,prime)</f>
        <v/>
      </c>
      <c r="H107">
        <f>MOD(Gx-B107,prime)</f>
        <v/>
      </c>
      <c r="I107">
        <f>IF(SUMPRODUCT((MOD(MOD(H107,prime)*ROW($A$1:$A$313),prime)=1)*(ROW($A$1:$A$313)&lt;prime)*ROW($A$1:$A$313))=0,NA(),SUMPRODUCT((MOD(MOD(H107,prime)*ROW($A$1:$A$313),prime)=1)*(ROW($A$1:$A$313)&lt;prime)*ROW($A$1:$A$313)))</f>
        <v/>
      </c>
      <c r="J107">
        <f>MOD(G107*I107,prime)</f>
        <v/>
      </c>
    </row>
    <row r="108">
      <c r="A108" t="n">
        <v>103</v>
      </c>
      <c r="B108">
        <f>MOD(J107*J107-B107-Gx,prime)</f>
        <v/>
      </c>
      <c r="C108">
        <f>MOD(J107*(Gx-B108)-Gy,prime)</f>
        <v/>
      </c>
      <c r="D108">
        <f>MOD(C108*C108,prime)</f>
        <v/>
      </c>
      <c r="E108">
        <f>MOD(B108^3+a*B108+b,prime)</f>
        <v/>
      </c>
      <c r="G108">
        <f>MOD(Gy-C108,prime)</f>
        <v/>
      </c>
      <c r="H108">
        <f>MOD(Gx-B108,prime)</f>
        <v/>
      </c>
      <c r="I108">
        <f>IF(SUMPRODUCT((MOD(MOD(H108,prime)*ROW($A$1:$A$313),prime)=1)*(ROW($A$1:$A$313)&lt;prime)*ROW($A$1:$A$313))=0,NA(),SUMPRODUCT((MOD(MOD(H108,prime)*ROW($A$1:$A$313),prime)=1)*(ROW($A$1:$A$313)&lt;prime)*ROW($A$1:$A$313)))</f>
        <v/>
      </c>
      <c r="J108">
        <f>MOD(G108*I108,prime)</f>
        <v/>
      </c>
    </row>
    <row r="109">
      <c r="A109" t="n">
        <v>104</v>
      </c>
      <c r="B109">
        <f>MOD(J108*J108-B108-Gx,prime)</f>
        <v/>
      </c>
      <c r="C109">
        <f>MOD(J108*(Gx-B109)-Gy,prime)</f>
        <v/>
      </c>
      <c r="D109">
        <f>MOD(C109*C109,prime)</f>
        <v/>
      </c>
      <c r="E109">
        <f>MOD(B109^3+a*B109+b,prime)</f>
        <v/>
      </c>
      <c r="G109">
        <f>MOD(Gy-C109,prime)</f>
        <v/>
      </c>
      <c r="H109">
        <f>MOD(Gx-B109,prime)</f>
        <v/>
      </c>
      <c r="I109">
        <f>IF(SUMPRODUCT((MOD(MOD(H109,prime)*ROW($A$1:$A$313),prime)=1)*(ROW($A$1:$A$313)&lt;prime)*ROW($A$1:$A$313))=0,NA(),SUMPRODUCT((MOD(MOD(H109,prime)*ROW($A$1:$A$313),prime)=1)*(ROW($A$1:$A$313)&lt;prime)*ROW($A$1:$A$313)))</f>
        <v/>
      </c>
      <c r="J109">
        <f>MOD(G109*I109,prime)</f>
        <v/>
      </c>
    </row>
    <row r="110">
      <c r="A110" t="n">
        <v>105</v>
      </c>
      <c r="B110">
        <f>MOD(J109*J109-B109-Gx,prime)</f>
        <v/>
      </c>
      <c r="C110">
        <f>MOD(J109*(Gx-B110)-Gy,prime)</f>
        <v/>
      </c>
      <c r="D110">
        <f>MOD(C110*C110,prime)</f>
        <v/>
      </c>
      <c r="E110">
        <f>MOD(B110^3+a*B110+b,prime)</f>
        <v/>
      </c>
      <c r="G110">
        <f>MOD(Gy-C110,prime)</f>
        <v/>
      </c>
      <c r="H110">
        <f>MOD(Gx-B110,prime)</f>
        <v/>
      </c>
      <c r="I110">
        <f>IF(SUMPRODUCT((MOD(MOD(H110,prime)*ROW($A$1:$A$313),prime)=1)*(ROW($A$1:$A$313)&lt;prime)*ROW($A$1:$A$313))=0,NA(),SUMPRODUCT((MOD(MOD(H110,prime)*ROW($A$1:$A$313),prime)=1)*(ROW($A$1:$A$313)&lt;prime)*ROW($A$1:$A$313)))</f>
        <v/>
      </c>
      <c r="J110">
        <f>MOD(G110*I110,prime)</f>
        <v/>
      </c>
    </row>
    <row r="111">
      <c r="A111" t="n">
        <v>106</v>
      </c>
      <c r="B111">
        <f>MOD(J110*J110-B110-Gx,prime)</f>
        <v/>
      </c>
      <c r="C111">
        <f>MOD(J110*(Gx-B111)-Gy,prime)</f>
        <v/>
      </c>
      <c r="D111">
        <f>MOD(C111*C111,prime)</f>
        <v/>
      </c>
      <c r="E111">
        <f>MOD(B111^3+a*B111+b,prime)</f>
        <v/>
      </c>
      <c r="G111">
        <f>MOD(Gy-C111,prime)</f>
        <v/>
      </c>
      <c r="H111">
        <f>MOD(Gx-B111,prime)</f>
        <v/>
      </c>
      <c r="I111">
        <f>IF(SUMPRODUCT((MOD(MOD(H111,prime)*ROW($A$1:$A$313),prime)=1)*(ROW($A$1:$A$313)&lt;prime)*ROW($A$1:$A$313))=0,NA(),SUMPRODUCT((MOD(MOD(H111,prime)*ROW($A$1:$A$313),prime)=1)*(ROW($A$1:$A$313)&lt;prime)*ROW($A$1:$A$313)))</f>
        <v/>
      </c>
      <c r="J111">
        <f>MOD(G111*I111,prime)</f>
        <v/>
      </c>
    </row>
    <row r="112">
      <c r="A112" t="n">
        <v>107</v>
      </c>
      <c r="B112">
        <f>MOD(J111*J111-B111-Gx,prime)</f>
        <v/>
      </c>
      <c r="C112">
        <f>MOD(J111*(Gx-B112)-Gy,prime)</f>
        <v/>
      </c>
      <c r="D112">
        <f>MOD(C112*C112,prime)</f>
        <v/>
      </c>
      <c r="E112">
        <f>MOD(B112^3+a*B112+b,prime)</f>
        <v/>
      </c>
      <c r="G112">
        <f>MOD(Gy-C112,prime)</f>
        <v/>
      </c>
      <c r="H112">
        <f>MOD(Gx-B112,prime)</f>
        <v/>
      </c>
      <c r="I112">
        <f>IF(SUMPRODUCT((MOD(MOD(H112,prime)*ROW($A$1:$A$313),prime)=1)*(ROW($A$1:$A$313)&lt;prime)*ROW($A$1:$A$313))=0,NA(),SUMPRODUCT((MOD(MOD(H112,prime)*ROW($A$1:$A$313),prime)=1)*(ROW($A$1:$A$313)&lt;prime)*ROW($A$1:$A$313)))</f>
        <v/>
      </c>
      <c r="J112">
        <f>MOD(G112*I112,prime)</f>
        <v/>
      </c>
    </row>
    <row r="113">
      <c r="A113" t="n">
        <v>108</v>
      </c>
      <c r="B113">
        <f>MOD(J112*J112-B112-Gx,prime)</f>
        <v/>
      </c>
      <c r="C113">
        <f>MOD(J112*(Gx-B113)-Gy,prime)</f>
        <v/>
      </c>
      <c r="D113">
        <f>MOD(C113*C113,prime)</f>
        <v/>
      </c>
      <c r="E113">
        <f>MOD(B113^3+a*B113+b,prime)</f>
        <v/>
      </c>
      <c r="G113">
        <f>MOD(Gy-C113,prime)</f>
        <v/>
      </c>
      <c r="H113">
        <f>MOD(Gx-B113,prime)</f>
        <v/>
      </c>
      <c r="I113">
        <f>IF(SUMPRODUCT((MOD(MOD(H113,prime)*ROW($A$1:$A$313),prime)=1)*(ROW($A$1:$A$313)&lt;prime)*ROW($A$1:$A$313))=0,NA(),SUMPRODUCT((MOD(MOD(H113,prime)*ROW($A$1:$A$313),prime)=1)*(ROW($A$1:$A$313)&lt;prime)*ROW($A$1:$A$313)))</f>
        <v/>
      </c>
      <c r="J113">
        <f>MOD(G113*I113,prime)</f>
        <v/>
      </c>
    </row>
    <row r="114">
      <c r="A114" t="n">
        <v>109</v>
      </c>
      <c r="B114">
        <f>MOD(J113*J113-B113-Gx,prime)</f>
        <v/>
      </c>
      <c r="C114">
        <f>MOD(J113*(Gx-B114)-Gy,prime)</f>
        <v/>
      </c>
      <c r="D114">
        <f>MOD(C114*C114,prime)</f>
        <v/>
      </c>
      <c r="E114">
        <f>MOD(B114^3+a*B114+b,prime)</f>
        <v/>
      </c>
      <c r="G114">
        <f>MOD(Gy-C114,prime)</f>
        <v/>
      </c>
      <c r="H114">
        <f>MOD(Gx-B114,prime)</f>
        <v/>
      </c>
      <c r="I114">
        <f>IF(SUMPRODUCT((MOD(MOD(H114,prime)*ROW($A$1:$A$313),prime)=1)*(ROW($A$1:$A$313)&lt;prime)*ROW($A$1:$A$313))=0,NA(),SUMPRODUCT((MOD(MOD(H114,prime)*ROW($A$1:$A$313),prime)=1)*(ROW($A$1:$A$313)&lt;prime)*ROW($A$1:$A$313)))</f>
        <v/>
      </c>
      <c r="J114">
        <f>MOD(G114*I114,prime)</f>
        <v/>
      </c>
    </row>
    <row r="115">
      <c r="A115" t="n">
        <v>110</v>
      </c>
      <c r="B115">
        <f>MOD(J114*J114-B114-Gx,prime)</f>
        <v/>
      </c>
      <c r="C115">
        <f>MOD(J114*(Gx-B115)-Gy,prime)</f>
        <v/>
      </c>
      <c r="D115">
        <f>MOD(C115*C115,prime)</f>
        <v/>
      </c>
      <c r="E115">
        <f>MOD(B115^3+a*B115+b,prime)</f>
        <v/>
      </c>
      <c r="G115">
        <f>MOD(Gy-C115,prime)</f>
        <v/>
      </c>
      <c r="H115">
        <f>MOD(Gx-B115,prime)</f>
        <v/>
      </c>
      <c r="I115">
        <f>IF(SUMPRODUCT((MOD(MOD(H115,prime)*ROW($A$1:$A$313),prime)=1)*(ROW($A$1:$A$313)&lt;prime)*ROW($A$1:$A$313))=0,NA(),SUMPRODUCT((MOD(MOD(H115,prime)*ROW($A$1:$A$313),prime)=1)*(ROW($A$1:$A$313)&lt;prime)*ROW($A$1:$A$313)))</f>
        <v/>
      </c>
      <c r="J115">
        <f>MOD(G115*I115,prime)</f>
        <v/>
      </c>
    </row>
    <row r="116">
      <c r="A116" t="n">
        <v>111</v>
      </c>
      <c r="B116">
        <f>MOD(J115*J115-B115-Gx,prime)</f>
        <v/>
      </c>
      <c r="C116">
        <f>MOD(J115*(Gx-B116)-Gy,prime)</f>
        <v/>
      </c>
      <c r="D116">
        <f>MOD(C116*C116,prime)</f>
        <v/>
      </c>
      <c r="E116">
        <f>MOD(B116^3+a*B116+b,prime)</f>
        <v/>
      </c>
      <c r="G116">
        <f>MOD(Gy-C116,prime)</f>
        <v/>
      </c>
      <c r="H116">
        <f>MOD(Gx-B116,prime)</f>
        <v/>
      </c>
      <c r="I116">
        <f>IF(SUMPRODUCT((MOD(MOD(H116,prime)*ROW($A$1:$A$313),prime)=1)*(ROW($A$1:$A$313)&lt;prime)*ROW($A$1:$A$313))=0,NA(),SUMPRODUCT((MOD(MOD(H116,prime)*ROW($A$1:$A$313),prime)=1)*(ROW($A$1:$A$313)&lt;prime)*ROW($A$1:$A$313)))</f>
        <v/>
      </c>
      <c r="J116">
        <f>MOD(G116*I116,prime)</f>
        <v/>
      </c>
    </row>
    <row r="117">
      <c r="A117" t="n">
        <v>112</v>
      </c>
      <c r="B117">
        <f>MOD(J116*J116-B116-Gx,prime)</f>
        <v/>
      </c>
      <c r="C117">
        <f>MOD(J116*(Gx-B117)-Gy,prime)</f>
        <v/>
      </c>
      <c r="D117">
        <f>MOD(C117*C117,prime)</f>
        <v/>
      </c>
      <c r="E117">
        <f>MOD(B117^3+a*B117+b,prime)</f>
        <v/>
      </c>
      <c r="G117">
        <f>MOD(Gy-C117,prime)</f>
        <v/>
      </c>
      <c r="H117">
        <f>MOD(Gx-B117,prime)</f>
        <v/>
      </c>
      <c r="I117">
        <f>IF(SUMPRODUCT((MOD(MOD(H117,prime)*ROW($A$1:$A$313),prime)=1)*(ROW($A$1:$A$313)&lt;prime)*ROW($A$1:$A$313))=0,NA(),SUMPRODUCT((MOD(MOD(H117,prime)*ROW($A$1:$A$313),prime)=1)*(ROW($A$1:$A$313)&lt;prime)*ROW($A$1:$A$313)))</f>
        <v/>
      </c>
      <c r="J117">
        <f>MOD(G117*I117,prime)</f>
        <v/>
      </c>
    </row>
    <row r="118">
      <c r="A118" t="n">
        <v>113</v>
      </c>
      <c r="B118">
        <f>MOD(J117*J117-B117-Gx,prime)</f>
        <v/>
      </c>
      <c r="C118">
        <f>MOD(J117*(Gx-B118)-Gy,prime)</f>
        <v/>
      </c>
      <c r="D118">
        <f>MOD(C118*C118,prime)</f>
        <v/>
      </c>
      <c r="E118">
        <f>MOD(B118^3+a*B118+b,prime)</f>
        <v/>
      </c>
      <c r="G118">
        <f>MOD(Gy-C118,prime)</f>
        <v/>
      </c>
      <c r="H118">
        <f>MOD(Gx-B118,prime)</f>
        <v/>
      </c>
      <c r="I118">
        <f>IF(SUMPRODUCT((MOD(MOD(H118,prime)*ROW($A$1:$A$313),prime)=1)*(ROW($A$1:$A$313)&lt;prime)*ROW($A$1:$A$313))=0,NA(),SUMPRODUCT((MOD(MOD(H118,prime)*ROW($A$1:$A$313),prime)=1)*(ROW($A$1:$A$313)&lt;prime)*ROW($A$1:$A$313)))</f>
        <v/>
      </c>
      <c r="J118">
        <f>MOD(G118*I118,prime)</f>
        <v/>
      </c>
    </row>
    <row r="119">
      <c r="A119" t="n">
        <v>114</v>
      </c>
      <c r="B119">
        <f>MOD(J118*J118-B118-Gx,prime)</f>
        <v/>
      </c>
      <c r="C119">
        <f>MOD(J118*(Gx-B119)-Gy,prime)</f>
        <v/>
      </c>
      <c r="D119">
        <f>MOD(C119*C119,prime)</f>
        <v/>
      </c>
      <c r="E119">
        <f>MOD(B119^3+a*B119+b,prime)</f>
        <v/>
      </c>
      <c r="G119">
        <f>MOD(Gy-C119,prime)</f>
        <v/>
      </c>
      <c r="H119">
        <f>MOD(Gx-B119,prime)</f>
        <v/>
      </c>
      <c r="I119">
        <f>IF(SUMPRODUCT((MOD(MOD(H119,prime)*ROW($A$1:$A$313),prime)=1)*(ROW($A$1:$A$313)&lt;prime)*ROW($A$1:$A$313))=0,NA(),SUMPRODUCT((MOD(MOD(H119,prime)*ROW($A$1:$A$313),prime)=1)*(ROW($A$1:$A$313)&lt;prime)*ROW($A$1:$A$313)))</f>
        <v/>
      </c>
      <c r="J119">
        <f>MOD(G119*I119,prime)</f>
        <v/>
      </c>
    </row>
    <row r="120">
      <c r="A120" t="n">
        <v>115</v>
      </c>
      <c r="B120">
        <f>MOD(J119*J119-B119-Gx,prime)</f>
        <v/>
      </c>
      <c r="C120">
        <f>MOD(J119*(Gx-B120)-Gy,prime)</f>
        <v/>
      </c>
      <c r="D120">
        <f>MOD(C120*C120,prime)</f>
        <v/>
      </c>
      <c r="E120">
        <f>MOD(B120^3+a*B120+b,prime)</f>
        <v/>
      </c>
      <c r="G120">
        <f>MOD(Gy-C120,prime)</f>
        <v/>
      </c>
      <c r="H120">
        <f>MOD(Gx-B120,prime)</f>
        <v/>
      </c>
      <c r="I120">
        <f>IF(SUMPRODUCT((MOD(MOD(H120,prime)*ROW($A$1:$A$313),prime)=1)*(ROW($A$1:$A$313)&lt;prime)*ROW($A$1:$A$313))=0,NA(),SUMPRODUCT((MOD(MOD(H120,prime)*ROW($A$1:$A$313),prime)=1)*(ROW($A$1:$A$313)&lt;prime)*ROW($A$1:$A$313)))</f>
        <v/>
      </c>
      <c r="J120">
        <f>MOD(G120*I120,prime)</f>
        <v/>
      </c>
    </row>
    <row r="121">
      <c r="A121" t="n">
        <v>116</v>
      </c>
      <c r="B121">
        <f>MOD(J120*J120-B120-Gx,prime)</f>
        <v/>
      </c>
      <c r="C121">
        <f>MOD(J120*(Gx-B121)-Gy,prime)</f>
        <v/>
      </c>
      <c r="D121">
        <f>MOD(C121*C121,prime)</f>
        <v/>
      </c>
      <c r="E121">
        <f>MOD(B121^3+a*B121+b,prime)</f>
        <v/>
      </c>
      <c r="G121">
        <f>MOD(Gy-C121,prime)</f>
        <v/>
      </c>
      <c r="H121">
        <f>MOD(Gx-B121,prime)</f>
        <v/>
      </c>
      <c r="I121">
        <f>IF(SUMPRODUCT((MOD(MOD(H121,prime)*ROW($A$1:$A$313),prime)=1)*(ROW($A$1:$A$313)&lt;prime)*ROW($A$1:$A$313))=0,NA(),SUMPRODUCT((MOD(MOD(H121,prime)*ROW($A$1:$A$313),prime)=1)*(ROW($A$1:$A$313)&lt;prime)*ROW($A$1:$A$313)))</f>
        <v/>
      </c>
      <c r="J121">
        <f>MOD(G121*I121,prime)</f>
        <v/>
      </c>
    </row>
    <row r="122">
      <c r="A122" t="n">
        <v>117</v>
      </c>
      <c r="B122">
        <f>MOD(J121*J121-B121-Gx,prime)</f>
        <v/>
      </c>
      <c r="C122">
        <f>MOD(J121*(Gx-B122)-Gy,prime)</f>
        <v/>
      </c>
      <c r="D122">
        <f>MOD(C122*C122,prime)</f>
        <v/>
      </c>
      <c r="E122">
        <f>MOD(B122^3+a*B122+b,prime)</f>
        <v/>
      </c>
      <c r="G122">
        <f>MOD(Gy-C122,prime)</f>
        <v/>
      </c>
      <c r="H122">
        <f>MOD(Gx-B122,prime)</f>
        <v/>
      </c>
      <c r="I122">
        <f>IF(SUMPRODUCT((MOD(MOD(H122,prime)*ROW($A$1:$A$313),prime)=1)*(ROW($A$1:$A$313)&lt;prime)*ROW($A$1:$A$313))=0,NA(),SUMPRODUCT((MOD(MOD(H122,prime)*ROW($A$1:$A$313),prime)=1)*(ROW($A$1:$A$313)&lt;prime)*ROW($A$1:$A$313)))</f>
        <v/>
      </c>
      <c r="J122">
        <f>MOD(G122*I122,prime)</f>
        <v/>
      </c>
    </row>
    <row r="123">
      <c r="A123" t="n">
        <v>118</v>
      </c>
      <c r="B123">
        <f>MOD(J122*J122-B122-Gx,prime)</f>
        <v/>
      </c>
      <c r="C123">
        <f>MOD(J122*(Gx-B123)-Gy,prime)</f>
        <v/>
      </c>
      <c r="D123">
        <f>MOD(C123*C123,prime)</f>
        <v/>
      </c>
      <c r="E123">
        <f>MOD(B123^3+a*B123+b,prime)</f>
        <v/>
      </c>
      <c r="G123">
        <f>MOD(Gy-C123,prime)</f>
        <v/>
      </c>
      <c r="H123">
        <f>MOD(Gx-B123,prime)</f>
        <v/>
      </c>
      <c r="I123">
        <f>IF(SUMPRODUCT((MOD(MOD(H123,prime)*ROW($A$1:$A$313),prime)=1)*(ROW($A$1:$A$313)&lt;prime)*ROW($A$1:$A$313))=0,NA(),SUMPRODUCT((MOD(MOD(H123,prime)*ROW($A$1:$A$313),prime)=1)*(ROW($A$1:$A$313)&lt;prime)*ROW($A$1:$A$313)))</f>
        <v/>
      </c>
      <c r="J123">
        <f>MOD(G123*I123,prime)</f>
        <v/>
      </c>
    </row>
    <row r="124">
      <c r="A124" t="n">
        <v>119</v>
      </c>
      <c r="B124">
        <f>MOD(J123*J123-B123-Gx,prime)</f>
        <v/>
      </c>
      <c r="C124">
        <f>MOD(J123*(Gx-B124)-Gy,prime)</f>
        <v/>
      </c>
      <c r="D124">
        <f>MOD(C124*C124,prime)</f>
        <v/>
      </c>
      <c r="E124">
        <f>MOD(B124^3+a*B124+b,prime)</f>
        <v/>
      </c>
      <c r="G124">
        <f>MOD(Gy-C124,prime)</f>
        <v/>
      </c>
      <c r="H124">
        <f>MOD(Gx-B124,prime)</f>
        <v/>
      </c>
      <c r="I124">
        <f>IF(SUMPRODUCT((MOD(MOD(H124,prime)*ROW($A$1:$A$313),prime)=1)*(ROW($A$1:$A$313)&lt;prime)*ROW($A$1:$A$313))=0,NA(),SUMPRODUCT((MOD(MOD(H124,prime)*ROW($A$1:$A$313),prime)=1)*(ROW($A$1:$A$313)&lt;prime)*ROW($A$1:$A$313)))</f>
        <v/>
      </c>
      <c r="J124">
        <f>MOD(G124*I124,prime)</f>
        <v/>
      </c>
    </row>
    <row r="125">
      <c r="A125" t="n">
        <v>120</v>
      </c>
      <c r="B125">
        <f>MOD(J124*J124-B124-Gx,prime)</f>
        <v/>
      </c>
      <c r="C125">
        <f>MOD(J124*(Gx-B125)-Gy,prime)</f>
        <v/>
      </c>
      <c r="D125">
        <f>MOD(C125*C125,prime)</f>
        <v/>
      </c>
      <c r="E125">
        <f>MOD(B125^3+a*B125+b,prime)</f>
        <v/>
      </c>
      <c r="G125">
        <f>MOD(Gy-C125,prime)</f>
        <v/>
      </c>
      <c r="H125">
        <f>MOD(Gx-B125,prime)</f>
        <v/>
      </c>
      <c r="I125">
        <f>IF(SUMPRODUCT((MOD(MOD(H125,prime)*ROW($A$1:$A$313),prime)=1)*(ROW($A$1:$A$313)&lt;prime)*ROW($A$1:$A$313))=0,NA(),SUMPRODUCT((MOD(MOD(H125,prime)*ROW($A$1:$A$313),prime)=1)*(ROW($A$1:$A$313)&lt;prime)*ROW($A$1:$A$313)))</f>
        <v/>
      </c>
      <c r="J125">
        <f>MOD(G125*I125,prime)</f>
        <v/>
      </c>
    </row>
    <row r="126">
      <c r="A126" t="n">
        <v>121</v>
      </c>
      <c r="B126">
        <f>MOD(J125*J125-B125-Gx,prime)</f>
        <v/>
      </c>
      <c r="C126">
        <f>MOD(J125*(Gx-B126)-Gy,prime)</f>
        <v/>
      </c>
      <c r="D126">
        <f>MOD(C126*C126,prime)</f>
        <v/>
      </c>
      <c r="E126">
        <f>MOD(B126^3+a*B126+b,prime)</f>
        <v/>
      </c>
      <c r="G126">
        <f>MOD(Gy-C126,prime)</f>
        <v/>
      </c>
      <c r="H126">
        <f>MOD(Gx-B126,prime)</f>
        <v/>
      </c>
      <c r="I126">
        <f>IF(SUMPRODUCT((MOD(MOD(H126,prime)*ROW($A$1:$A$313),prime)=1)*(ROW($A$1:$A$313)&lt;prime)*ROW($A$1:$A$313))=0,NA(),SUMPRODUCT((MOD(MOD(H126,prime)*ROW($A$1:$A$313),prime)=1)*(ROW($A$1:$A$313)&lt;prime)*ROW($A$1:$A$313)))</f>
        <v/>
      </c>
      <c r="J126">
        <f>MOD(G126*I126,prime)</f>
        <v/>
      </c>
    </row>
    <row r="127">
      <c r="A127" t="n">
        <v>122</v>
      </c>
      <c r="B127">
        <f>MOD(J126*J126-B126-Gx,prime)</f>
        <v/>
      </c>
      <c r="C127">
        <f>MOD(J126*(Gx-B127)-Gy,prime)</f>
        <v/>
      </c>
      <c r="D127">
        <f>MOD(C127*C127,prime)</f>
        <v/>
      </c>
      <c r="E127">
        <f>MOD(B127^3+a*B127+b,prime)</f>
        <v/>
      </c>
      <c r="G127">
        <f>MOD(Gy-C127,prime)</f>
        <v/>
      </c>
      <c r="H127">
        <f>MOD(Gx-B127,prime)</f>
        <v/>
      </c>
      <c r="I127">
        <f>IF(SUMPRODUCT((MOD(MOD(H127,prime)*ROW($A$1:$A$313),prime)=1)*(ROW($A$1:$A$313)&lt;prime)*ROW($A$1:$A$313))=0,NA(),SUMPRODUCT((MOD(MOD(H127,prime)*ROW($A$1:$A$313),prime)=1)*(ROW($A$1:$A$313)&lt;prime)*ROW($A$1:$A$313)))</f>
        <v/>
      </c>
      <c r="J127">
        <f>MOD(G127*I127,prime)</f>
        <v/>
      </c>
    </row>
    <row r="128">
      <c r="A128" t="n">
        <v>123</v>
      </c>
      <c r="B128">
        <f>MOD(J127*J127-B127-Gx,prime)</f>
        <v/>
      </c>
      <c r="C128">
        <f>MOD(J127*(Gx-B128)-Gy,prime)</f>
        <v/>
      </c>
      <c r="D128">
        <f>MOD(C128*C128,prime)</f>
        <v/>
      </c>
      <c r="E128">
        <f>MOD(B128^3+a*B128+b,prime)</f>
        <v/>
      </c>
      <c r="G128">
        <f>MOD(Gy-C128,prime)</f>
        <v/>
      </c>
      <c r="H128">
        <f>MOD(Gx-B128,prime)</f>
        <v/>
      </c>
      <c r="I128">
        <f>IF(SUMPRODUCT((MOD(MOD(H128,prime)*ROW($A$1:$A$313),prime)=1)*(ROW($A$1:$A$313)&lt;prime)*ROW($A$1:$A$313))=0,NA(),SUMPRODUCT((MOD(MOD(H128,prime)*ROW($A$1:$A$313),prime)=1)*(ROW($A$1:$A$313)&lt;prime)*ROW($A$1:$A$313)))</f>
        <v/>
      </c>
      <c r="J128">
        <f>MOD(G128*I128,prime)</f>
        <v/>
      </c>
    </row>
    <row r="129">
      <c r="A129" t="n">
        <v>124</v>
      </c>
      <c r="B129">
        <f>MOD(J128*J128-B128-Gx,prime)</f>
        <v/>
      </c>
      <c r="C129">
        <f>MOD(J128*(Gx-B129)-Gy,prime)</f>
        <v/>
      </c>
      <c r="D129">
        <f>MOD(C129*C129,prime)</f>
        <v/>
      </c>
      <c r="E129">
        <f>MOD(B129^3+a*B129+b,prime)</f>
        <v/>
      </c>
      <c r="G129">
        <f>MOD(Gy-C129,prime)</f>
        <v/>
      </c>
      <c r="H129">
        <f>MOD(Gx-B129,prime)</f>
        <v/>
      </c>
      <c r="I129">
        <f>IF(SUMPRODUCT((MOD(MOD(H129,prime)*ROW($A$1:$A$313),prime)=1)*(ROW($A$1:$A$313)&lt;prime)*ROW($A$1:$A$313))=0,NA(),SUMPRODUCT((MOD(MOD(H129,prime)*ROW($A$1:$A$313),prime)=1)*(ROW($A$1:$A$313)&lt;prime)*ROW($A$1:$A$313)))</f>
        <v/>
      </c>
      <c r="J129">
        <f>MOD(G129*I129,prime)</f>
        <v/>
      </c>
    </row>
    <row r="130">
      <c r="A130" t="n">
        <v>125</v>
      </c>
      <c r="B130">
        <f>MOD(J129*J129-B129-Gx,prime)</f>
        <v/>
      </c>
      <c r="C130">
        <f>MOD(J129*(Gx-B130)-Gy,prime)</f>
        <v/>
      </c>
      <c r="D130">
        <f>MOD(C130*C130,prime)</f>
        <v/>
      </c>
      <c r="E130">
        <f>MOD(B130^3+a*B130+b,prime)</f>
        <v/>
      </c>
      <c r="G130">
        <f>MOD(Gy-C130,prime)</f>
        <v/>
      </c>
      <c r="H130">
        <f>MOD(Gx-B130,prime)</f>
        <v/>
      </c>
      <c r="I130">
        <f>IF(SUMPRODUCT((MOD(MOD(H130,prime)*ROW($A$1:$A$313),prime)=1)*(ROW($A$1:$A$313)&lt;prime)*ROW($A$1:$A$313))=0,NA(),SUMPRODUCT((MOD(MOD(H130,prime)*ROW($A$1:$A$313),prime)=1)*(ROW($A$1:$A$313)&lt;prime)*ROW($A$1:$A$313)))</f>
        <v/>
      </c>
      <c r="J130">
        <f>MOD(G130*I130,prime)</f>
        <v/>
      </c>
    </row>
    <row r="131">
      <c r="A131" t="n">
        <v>126</v>
      </c>
      <c r="B131">
        <f>MOD(J130*J130-B130-Gx,prime)</f>
        <v/>
      </c>
      <c r="C131">
        <f>MOD(J130*(Gx-B131)-Gy,prime)</f>
        <v/>
      </c>
      <c r="D131">
        <f>MOD(C131*C131,prime)</f>
        <v/>
      </c>
      <c r="E131">
        <f>MOD(B131^3+a*B131+b,prime)</f>
        <v/>
      </c>
      <c r="G131">
        <f>MOD(Gy-C131,prime)</f>
        <v/>
      </c>
      <c r="H131">
        <f>MOD(Gx-B131,prime)</f>
        <v/>
      </c>
      <c r="I131">
        <f>IF(SUMPRODUCT((MOD(MOD(H131,prime)*ROW($A$1:$A$313),prime)=1)*(ROW($A$1:$A$313)&lt;prime)*ROW($A$1:$A$313))=0,NA(),SUMPRODUCT((MOD(MOD(H131,prime)*ROW($A$1:$A$313),prime)=1)*(ROW($A$1:$A$313)&lt;prime)*ROW($A$1:$A$313)))</f>
        <v/>
      </c>
      <c r="J131">
        <f>MOD(G131*I131,prime)</f>
        <v/>
      </c>
    </row>
    <row r="132">
      <c r="A132" t="n">
        <v>127</v>
      </c>
      <c r="B132">
        <f>MOD(J131*J131-B131-Gx,prime)</f>
        <v/>
      </c>
      <c r="C132">
        <f>MOD(J131*(Gx-B132)-Gy,prime)</f>
        <v/>
      </c>
      <c r="D132">
        <f>MOD(C132*C132,prime)</f>
        <v/>
      </c>
      <c r="E132">
        <f>MOD(B132^3+a*B132+b,prime)</f>
        <v/>
      </c>
      <c r="G132">
        <f>MOD(Gy-C132,prime)</f>
        <v/>
      </c>
      <c r="H132">
        <f>MOD(Gx-B132,prime)</f>
        <v/>
      </c>
      <c r="I132">
        <f>IF(SUMPRODUCT((MOD(MOD(H132,prime)*ROW($A$1:$A$313),prime)=1)*(ROW($A$1:$A$313)&lt;prime)*ROW($A$1:$A$313))=0,NA(),SUMPRODUCT((MOD(MOD(H132,prime)*ROW($A$1:$A$313),prime)=1)*(ROW($A$1:$A$313)&lt;prime)*ROW($A$1:$A$313)))</f>
        <v/>
      </c>
      <c r="J132">
        <f>MOD(G132*I132,prime)</f>
        <v/>
      </c>
    </row>
    <row r="133">
      <c r="A133" t="n">
        <v>128</v>
      </c>
      <c r="B133">
        <f>MOD(J132*J132-B132-Gx,prime)</f>
        <v/>
      </c>
      <c r="C133">
        <f>MOD(J132*(Gx-B133)-Gy,prime)</f>
        <v/>
      </c>
      <c r="D133">
        <f>MOD(C133*C133,prime)</f>
        <v/>
      </c>
      <c r="E133">
        <f>MOD(B133^3+a*B133+b,prime)</f>
        <v/>
      </c>
      <c r="G133">
        <f>MOD(Gy-C133,prime)</f>
        <v/>
      </c>
      <c r="H133">
        <f>MOD(Gx-B133,prime)</f>
        <v/>
      </c>
      <c r="I133">
        <f>IF(SUMPRODUCT((MOD(MOD(H133,prime)*ROW($A$1:$A$313),prime)=1)*(ROW($A$1:$A$313)&lt;prime)*ROW($A$1:$A$313))=0,NA(),SUMPRODUCT((MOD(MOD(H133,prime)*ROW($A$1:$A$313),prime)=1)*(ROW($A$1:$A$313)&lt;prime)*ROW($A$1:$A$313)))</f>
        <v/>
      </c>
      <c r="J133">
        <f>MOD(G133*I133,prime)</f>
        <v/>
      </c>
    </row>
    <row r="134">
      <c r="A134" t="n">
        <v>129</v>
      </c>
      <c r="B134">
        <f>MOD(J133*J133-B133-Gx,prime)</f>
        <v/>
      </c>
      <c r="C134">
        <f>MOD(J133*(Gx-B134)-Gy,prime)</f>
        <v/>
      </c>
      <c r="D134">
        <f>MOD(C134*C134,prime)</f>
        <v/>
      </c>
      <c r="E134">
        <f>MOD(B134^3+a*B134+b,prime)</f>
        <v/>
      </c>
      <c r="G134">
        <f>MOD(Gy-C134,prime)</f>
        <v/>
      </c>
      <c r="H134">
        <f>MOD(Gx-B134,prime)</f>
        <v/>
      </c>
      <c r="I134">
        <f>IF(SUMPRODUCT((MOD(MOD(H134,prime)*ROW($A$1:$A$313),prime)=1)*(ROW($A$1:$A$313)&lt;prime)*ROW($A$1:$A$313))=0,NA(),SUMPRODUCT((MOD(MOD(H134,prime)*ROW($A$1:$A$313),prime)=1)*(ROW($A$1:$A$313)&lt;prime)*ROW($A$1:$A$313)))</f>
        <v/>
      </c>
      <c r="J134">
        <f>MOD(G134*I134,prime)</f>
        <v/>
      </c>
    </row>
    <row r="135">
      <c r="A135" t="n">
        <v>130</v>
      </c>
      <c r="B135">
        <f>MOD(J134*J134-B134-Gx,prime)</f>
        <v/>
      </c>
      <c r="C135">
        <f>MOD(J134*(Gx-B135)-Gy,prime)</f>
        <v/>
      </c>
      <c r="D135">
        <f>MOD(C135*C135,prime)</f>
        <v/>
      </c>
      <c r="E135">
        <f>MOD(B135^3+a*B135+b,prime)</f>
        <v/>
      </c>
      <c r="G135">
        <f>MOD(Gy-C135,prime)</f>
        <v/>
      </c>
      <c r="H135">
        <f>MOD(Gx-B135,prime)</f>
        <v/>
      </c>
      <c r="I135">
        <f>IF(SUMPRODUCT((MOD(MOD(H135,prime)*ROW($A$1:$A$313),prime)=1)*(ROW($A$1:$A$313)&lt;prime)*ROW($A$1:$A$313))=0,NA(),SUMPRODUCT((MOD(MOD(H135,prime)*ROW($A$1:$A$313),prime)=1)*(ROW($A$1:$A$313)&lt;prime)*ROW($A$1:$A$313)))</f>
        <v/>
      </c>
      <c r="J135">
        <f>MOD(G135*I135,prime)</f>
        <v/>
      </c>
    </row>
    <row r="136">
      <c r="A136" t="n">
        <v>131</v>
      </c>
      <c r="B136">
        <f>MOD(J135*J135-B135-Gx,prime)</f>
        <v/>
      </c>
      <c r="C136">
        <f>MOD(J135*(Gx-B136)-Gy,prime)</f>
        <v/>
      </c>
      <c r="D136">
        <f>MOD(C136*C136,prime)</f>
        <v/>
      </c>
      <c r="E136">
        <f>MOD(B136^3+a*B136+b,prime)</f>
        <v/>
      </c>
      <c r="G136">
        <f>MOD(Gy-C136,prime)</f>
        <v/>
      </c>
      <c r="H136">
        <f>MOD(Gx-B136,prime)</f>
        <v/>
      </c>
      <c r="I136">
        <f>IF(SUMPRODUCT((MOD(MOD(H136,prime)*ROW($A$1:$A$313),prime)=1)*(ROW($A$1:$A$313)&lt;prime)*ROW($A$1:$A$313))=0,NA(),SUMPRODUCT((MOD(MOD(H136,prime)*ROW($A$1:$A$313),prime)=1)*(ROW($A$1:$A$313)&lt;prime)*ROW($A$1:$A$313)))</f>
        <v/>
      </c>
      <c r="J136">
        <f>MOD(G136*I136,prime)</f>
        <v/>
      </c>
    </row>
    <row r="137">
      <c r="A137" t="n">
        <v>132</v>
      </c>
      <c r="B137">
        <f>MOD(J136*J136-B136-Gx,prime)</f>
        <v/>
      </c>
      <c r="C137">
        <f>MOD(J136*(Gx-B137)-Gy,prime)</f>
        <v/>
      </c>
      <c r="D137">
        <f>MOD(C137*C137,prime)</f>
        <v/>
      </c>
      <c r="E137">
        <f>MOD(B137^3+a*B137+b,prime)</f>
        <v/>
      </c>
      <c r="G137">
        <f>MOD(Gy-C137,prime)</f>
        <v/>
      </c>
      <c r="H137">
        <f>MOD(Gx-B137,prime)</f>
        <v/>
      </c>
      <c r="I137">
        <f>IF(SUMPRODUCT((MOD(MOD(H137,prime)*ROW($A$1:$A$313),prime)=1)*(ROW($A$1:$A$313)&lt;prime)*ROW($A$1:$A$313))=0,NA(),SUMPRODUCT((MOD(MOD(H137,prime)*ROW($A$1:$A$313),prime)=1)*(ROW($A$1:$A$313)&lt;prime)*ROW($A$1:$A$313)))</f>
        <v/>
      </c>
      <c r="J137">
        <f>MOD(G137*I137,prime)</f>
        <v/>
      </c>
    </row>
    <row r="138">
      <c r="A138" t="n">
        <v>133</v>
      </c>
      <c r="B138">
        <f>MOD(J137*J137-B137-Gx,prime)</f>
        <v/>
      </c>
      <c r="C138">
        <f>MOD(J137*(Gx-B138)-Gy,prime)</f>
        <v/>
      </c>
      <c r="D138">
        <f>MOD(C138*C138,prime)</f>
        <v/>
      </c>
      <c r="E138">
        <f>MOD(B138^3+a*B138+b,prime)</f>
        <v/>
      </c>
      <c r="G138">
        <f>MOD(Gy-C138,prime)</f>
        <v/>
      </c>
      <c r="H138">
        <f>MOD(Gx-B138,prime)</f>
        <v/>
      </c>
      <c r="I138">
        <f>IF(SUMPRODUCT((MOD(MOD(H138,prime)*ROW($A$1:$A$313),prime)=1)*(ROW($A$1:$A$313)&lt;prime)*ROW($A$1:$A$313))=0,NA(),SUMPRODUCT((MOD(MOD(H138,prime)*ROW($A$1:$A$313),prime)=1)*(ROW($A$1:$A$313)&lt;prime)*ROW($A$1:$A$313)))</f>
        <v/>
      </c>
      <c r="J138">
        <f>MOD(G138*I138,prime)</f>
        <v/>
      </c>
    </row>
    <row r="139">
      <c r="A139" t="n">
        <v>134</v>
      </c>
      <c r="B139">
        <f>MOD(J138*J138-B138-Gx,prime)</f>
        <v/>
      </c>
      <c r="C139">
        <f>MOD(J138*(Gx-B139)-Gy,prime)</f>
        <v/>
      </c>
      <c r="D139">
        <f>MOD(C139*C139,prime)</f>
        <v/>
      </c>
      <c r="E139">
        <f>MOD(B139^3+a*B139+b,prime)</f>
        <v/>
      </c>
      <c r="G139">
        <f>MOD(Gy-C139,prime)</f>
        <v/>
      </c>
      <c r="H139">
        <f>MOD(Gx-B139,prime)</f>
        <v/>
      </c>
      <c r="I139">
        <f>IF(SUMPRODUCT((MOD(MOD(H139,prime)*ROW($A$1:$A$313),prime)=1)*(ROW($A$1:$A$313)&lt;prime)*ROW($A$1:$A$313))=0,NA(),SUMPRODUCT((MOD(MOD(H139,prime)*ROW($A$1:$A$313),prime)=1)*(ROW($A$1:$A$313)&lt;prime)*ROW($A$1:$A$313)))</f>
        <v/>
      </c>
      <c r="J139">
        <f>MOD(G139*I139,prime)</f>
        <v/>
      </c>
    </row>
    <row r="140">
      <c r="A140" t="n">
        <v>135</v>
      </c>
      <c r="B140">
        <f>MOD(J139*J139-B139-Gx,prime)</f>
        <v/>
      </c>
      <c r="C140">
        <f>MOD(J139*(Gx-B140)-Gy,prime)</f>
        <v/>
      </c>
      <c r="D140">
        <f>MOD(C140*C140,prime)</f>
        <v/>
      </c>
      <c r="E140">
        <f>MOD(B140^3+a*B140+b,prime)</f>
        <v/>
      </c>
      <c r="G140">
        <f>MOD(Gy-C140,prime)</f>
        <v/>
      </c>
      <c r="H140">
        <f>MOD(Gx-B140,prime)</f>
        <v/>
      </c>
      <c r="I140">
        <f>IF(SUMPRODUCT((MOD(MOD(H140,prime)*ROW($A$1:$A$313),prime)=1)*(ROW($A$1:$A$313)&lt;prime)*ROW($A$1:$A$313))=0,NA(),SUMPRODUCT((MOD(MOD(H140,prime)*ROW($A$1:$A$313),prime)=1)*(ROW($A$1:$A$313)&lt;prime)*ROW($A$1:$A$313)))</f>
        <v/>
      </c>
      <c r="J140">
        <f>MOD(G140*I140,prime)</f>
        <v/>
      </c>
    </row>
    <row r="141">
      <c r="A141" t="n">
        <v>136</v>
      </c>
      <c r="B141">
        <f>MOD(J140*J140-B140-Gx,prime)</f>
        <v/>
      </c>
      <c r="C141">
        <f>MOD(J140*(Gx-B141)-Gy,prime)</f>
        <v/>
      </c>
      <c r="D141">
        <f>MOD(C141*C141,prime)</f>
        <v/>
      </c>
      <c r="E141">
        <f>MOD(B141^3+a*B141+b,prime)</f>
        <v/>
      </c>
      <c r="G141">
        <f>MOD(Gy-C141,prime)</f>
        <v/>
      </c>
      <c r="H141">
        <f>MOD(Gx-B141,prime)</f>
        <v/>
      </c>
      <c r="I141">
        <f>IF(SUMPRODUCT((MOD(MOD(H141,prime)*ROW($A$1:$A$313),prime)=1)*(ROW($A$1:$A$313)&lt;prime)*ROW($A$1:$A$313))=0,NA(),SUMPRODUCT((MOD(MOD(H141,prime)*ROW($A$1:$A$313),prime)=1)*(ROW($A$1:$A$313)&lt;prime)*ROW($A$1:$A$313)))</f>
        <v/>
      </c>
      <c r="J141">
        <f>MOD(G141*I141,prime)</f>
        <v/>
      </c>
    </row>
    <row r="142">
      <c r="A142" t="n">
        <v>137</v>
      </c>
      <c r="B142">
        <f>MOD(J141*J141-B141-Gx,prime)</f>
        <v/>
      </c>
      <c r="C142">
        <f>MOD(J141*(Gx-B142)-Gy,prime)</f>
        <v/>
      </c>
      <c r="D142">
        <f>MOD(C142*C142,prime)</f>
        <v/>
      </c>
      <c r="E142">
        <f>MOD(B142^3+a*B142+b,prime)</f>
        <v/>
      </c>
      <c r="G142">
        <f>MOD(Gy-C142,prime)</f>
        <v/>
      </c>
      <c r="H142">
        <f>MOD(Gx-B142,prime)</f>
        <v/>
      </c>
      <c r="I142">
        <f>IF(SUMPRODUCT((MOD(MOD(H142,prime)*ROW($A$1:$A$313),prime)=1)*(ROW($A$1:$A$313)&lt;prime)*ROW($A$1:$A$313))=0,NA(),SUMPRODUCT((MOD(MOD(H142,prime)*ROW($A$1:$A$313),prime)=1)*(ROW($A$1:$A$313)&lt;prime)*ROW($A$1:$A$313)))</f>
        <v/>
      </c>
      <c r="J142">
        <f>MOD(G142*I142,prime)</f>
        <v/>
      </c>
    </row>
    <row r="143">
      <c r="A143" t="n">
        <v>138</v>
      </c>
      <c r="B143">
        <f>MOD(J142*J142-B142-Gx,prime)</f>
        <v/>
      </c>
      <c r="C143">
        <f>MOD(J142*(Gx-B143)-Gy,prime)</f>
        <v/>
      </c>
      <c r="D143">
        <f>MOD(C143*C143,prime)</f>
        <v/>
      </c>
      <c r="E143">
        <f>MOD(B143^3+a*B143+b,prime)</f>
        <v/>
      </c>
      <c r="G143">
        <f>MOD(Gy-C143,prime)</f>
        <v/>
      </c>
      <c r="H143">
        <f>MOD(Gx-B143,prime)</f>
        <v/>
      </c>
      <c r="I143">
        <f>IF(SUMPRODUCT((MOD(MOD(H143,prime)*ROW($A$1:$A$313),prime)=1)*(ROW($A$1:$A$313)&lt;prime)*ROW($A$1:$A$313))=0,NA(),SUMPRODUCT((MOD(MOD(H143,prime)*ROW($A$1:$A$313),prime)=1)*(ROW($A$1:$A$313)&lt;prime)*ROW($A$1:$A$313)))</f>
        <v/>
      </c>
      <c r="J143">
        <f>MOD(G143*I143,prime)</f>
        <v/>
      </c>
    </row>
    <row r="144">
      <c r="A144" t="n">
        <v>139</v>
      </c>
      <c r="B144">
        <f>MOD(J143*J143-B143-Gx,prime)</f>
        <v/>
      </c>
      <c r="C144">
        <f>MOD(J143*(Gx-B144)-Gy,prime)</f>
        <v/>
      </c>
      <c r="D144">
        <f>MOD(C144*C144,prime)</f>
        <v/>
      </c>
      <c r="E144">
        <f>MOD(B144^3+a*B144+b,prime)</f>
        <v/>
      </c>
      <c r="G144">
        <f>MOD(Gy-C144,prime)</f>
        <v/>
      </c>
      <c r="H144">
        <f>MOD(Gx-B144,prime)</f>
        <v/>
      </c>
      <c r="I144">
        <f>IF(SUMPRODUCT((MOD(MOD(H144,prime)*ROW($A$1:$A$313),prime)=1)*(ROW($A$1:$A$313)&lt;prime)*ROW($A$1:$A$313))=0,NA(),SUMPRODUCT((MOD(MOD(H144,prime)*ROW($A$1:$A$313),prime)=1)*(ROW($A$1:$A$313)&lt;prime)*ROW($A$1:$A$313)))</f>
        <v/>
      </c>
      <c r="J144">
        <f>MOD(G144*I144,prime)</f>
        <v/>
      </c>
    </row>
    <row r="145">
      <c r="A145" t="n">
        <v>140</v>
      </c>
      <c r="B145">
        <f>MOD(J144*J144-B144-Gx,prime)</f>
        <v/>
      </c>
      <c r="C145">
        <f>MOD(J144*(Gx-B145)-Gy,prime)</f>
        <v/>
      </c>
      <c r="D145">
        <f>MOD(C145*C145,prime)</f>
        <v/>
      </c>
      <c r="E145">
        <f>MOD(B145^3+a*B145+b,prime)</f>
        <v/>
      </c>
      <c r="G145">
        <f>MOD(Gy-C145,prime)</f>
        <v/>
      </c>
      <c r="H145">
        <f>MOD(Gx-B145,prime)</f>
        <v/>
      </c>
      <c r="I145">
        <f>IF(SUMPRODUCT((MOD(MOD(H145,prime)*ROW($A$1:$A$313),prime)=1)*(ROW($A$1:$A$313)&lt;prime)*ROW($A$1:$A$313))=0,NA(),SUMPRODUCT((MOD(MOD(H145,prime)*ROW($A$1:$A$313),prime)=1)*(ROW($A$1:$A$313)&lt;prime)*ROW($A$1:$A$313)))</f>
        <v/>
      </c>
      <c r="J145">
        <f>MOD(G145*I145,prime)</f>
        <v/>
      </c>
    </row>
    <row r="146">
      <c r="A146" t="n">
        <v>141</v>
      </c>
      <c r="B146">
        <f>MOD(J145*J145-B145-Gx,prime)</f>
        <v/>
      </c>
      <c r="C146">
        <f>MOD(J145*(Gx-B146)-Gy,prime)</f>
        <v/>
      </c>
      <c r="D146">
        <f>MOD(C146*C146,prime)</f>
        <v/>
      </c>
      <c r="E146">
        <f>MOD(B146^3+a*B146+b,prime)</f>
        <v/>
      </c>
      <c r="G146">
        <f>MOD(Gy-C146,prime)</f>
        <v/>
      </c>
      <c r="H146">
        <f>MOD(Gx-B146,prime)</f>
        <v/>
      </c>
      <c r="I146">
        <f>IF(SUMPRODUCT((MOD(MOD(H146,prime)*ROW($A$1:$A$313),prime)=1)*(ROW($A$1:$A$313)&lt;prime)*ROW($A$1:$A$313))=0,NA(),SUMPRODUCT((MOD(MOD(H146,prime)*ROW($A$1:$A$313),prime)=1)*(ROW($A$1:$A$313)&lt;prime)*ROW($A$1:$A$313)))</f>
        <v/>
      </c>
      <c r="J146">
        <f>MOD(G146*I146,prime)</f>
        <v/>
      </c>
    </row>
    <row r="147">
      <c r="A147" t="n">
        <v>142</v>
      </c>
      <c r="B147">
        <f>MOD(J146*J146-B146-Gx,prime)</f>
        <v/>
      </c>
      <c r="C147">
        <f>MOD(J146*(Gx-B147)-Gy,prime)</f>
        <v/>
      </c>
      <c r="D147">
        <f>MOD(C147*C147,prime)</f>
        <v/>
      </c>
      <c r="E147">
        <f>MOD(B147^3+a*B147+b,prime)</f>
        <v/>
      </c>
      <c r="G147">
        <f>MOD(Gy-C147,prime)</f>
        <v/>
      </c>
      <c r="H147">
        <f>MOD(Gx-B147,prime)</f>
        <v/>
      </c>
      <c r="I147">
        <f>IF(SUMPRODUCT((MOD(MOD(H147,prime)*ROW($A$1:$A$313),prime)=1)*(ROW($A$1:$A$313)&lt;prime)*ROW($A$1:$A$313))=0,NA(),SUMPRODUCT((MOD(MOD(H147,prime)*ROW($A$1:$A$313),prime)=1)*(ROW($A$1:$A$313)&lt;prime)*ROW($A$1:$A$313)))</f>
        <v/>
      </c>
      <c r="J147">
        <f>MOD(G147*I147,prime)</f>
        <v/>
      </c>
    </row>
    <row r="148">
      <c r="A148" t="n">
        <v>143</v>
      </c>
      <c r="B148">
        <f>MOD(J147*J147-B147-Gx,prime)</f>
        <v/>
      </c>
      <c r="C148">
        <f>MOD(J147*(Gx-B148)-Gy,prime)</f>
        <v/>
      </c>
      <c r="D148">
        <f>MOD(C148*C148,prime)</f>
        <v/>
      </c>
      <c r="E148">
        <f>MOD(B148^3+a*B148+b,prime)</f>
        <v/>
      </c>
      <c r="G148">
        <f>MOD(Gy-C148,prime)</f>
        <v/>
      </c>
      <c r="H148">
        <f>MOD(Gx-B148,prime)</f>
        <v/>
      </c>
      <c r="I148">
        <f>IF(SUMPRODUCT((MOD(MOD(H148,prime)*ROW($A$1:$A$313),prime)=1)*(ROW($A$1:$A$313)&lt;prime)*ROW($A$1:$A$313))=0,NA(),SUMPRODUCT((MOD(MOD(H148,prime)*ROW($A$1:$A$313),prime)=1)*(ROW($A$1:$A$313)&lt;prime)*ROW($A$1:$A$313)))</f>
        <v/>
      </c>
      <c r="J148">
        <f>MOD(G148*I148,prime)</f>
        <v/>
      </c>
    </row>
    <row r="149">
      <c r="A149" t="n">
        <v>144</v>
      </c>
      <c r="B149">
        <f>MOD(J148*J148-B148-Gx,prime)</f>
        <v/>
      </c>
      <c r="C149">
        <f>MOD(J148*(Gx-B149)-Gy,prime)</f>
        <v/>
      </c>
      <c r="D149">
        <f>MOD(C149*C149,prime)</f>
        <v/>
      </c>
      <c r="E149">
        <f>MOD(B149^3+a*B149+b,prime)</f>
        <v/>
      </c>
      <c r="G149">
        <f>MOD(Gy-C149,prime)</f>
        <v/>
      </c>
      <c r="H149">
        <f>MOD(Gx-B149,prime)</f>
        <v/>
      </c>
      <c r="I149">
        <f>IF(SUMPRODUCT((MOD(MOD(H149,prime)*ROW($A$1:$A$313),prime)=1)*(ROW($A$1:$A$313)&lt;prime)*ROW($A$1:$A$313))=0,NA(),SUMPRODUCT((MOD(MOD(H149,prime)*ROW($A$1:$A$313),prime)=1)*(ROW($A$1:$A$313)&lt;prime)*ROW($A$1:$A$313)))</f>
        <v/>
      </c>
      <c r="J149">
        <f>MOD(G149*I149,prime)</f>
        <v/>
      </c>
    </row>
    <row r="150">
      <c r="A150" t="n">
        <v>145</v>
      </c>
      <c r="B150">
        <f>MOD(J149*J149-B149-Gx,prime)</f>
        <v/>
      </c>
      <c r="C150">
        <f>MOD(J149*(Gx-B150)-Gy,prime)</f>
        <v/>
      </c>
      <c r="D150">
        <f>MOD(C150*C150,prime)</f>
        <v/>
      </c>
      <c r="E150">
        <f>MOD(B150^3+a*B150+b,prime)</f>
        <v/>
      </c>
      <c r="G150">
        <f>MOD(Gy-C150,prime)</f>
        <v/>
      </c>
      <c r="H150">
        <f>MOD(Gx-B150,prime)</f>
        <v/>
      </c>
      <c r="I150">
        <f>IF(SUMPRODUCT((MOD(MOD(H150,prime)*ROW($A$1:$A$313),prime)=1)*(ROW($A$1:$A$313)&lt;prime)*ROW($A$1:$A$313))=0,NA(),SUMPRODUCT((MOD(MOD(H150,prime)*ROW($A$1:$A$313),prime)=1)*(ROW($A$1:$A$313)&lt;prime)*ROW($A$1:$A$313)))</f>
        <v/>
      </c>
      <c r="J150">
        <f>MOD(G150*I150,prime)</f>
        <v/>
      </c>
    </row>
    <row r="151">
      <c r="A151" t="n">
        <v>146</v>
      </c>
      <c r="B151">
        <f>MOD(J150*J150-B150-Gx,prime)</f>
        <v/>
      </c>
      <c r="C151">
        <f>MOD(J150*(Gx-B151)-Gy,prime)</f>
        <v/>
      </c>
      <c r="D151">
        <f>MOD(C151*C151,prime)</f>
        <v/>
      </c>
      <c r="E151">
        <f>MOD(B151^3+a*B151+b,prime)</f>
        <v/>
      </c>
      <c r="G151">
        <f>MOD(Gy-C151,prime)</f>
        <v/>
      </c>
      <c r="H151">
        <f>MOD(Gx-B151,prime)</f>
        <v/>
      </c>
      <c r="I151">
        <f>IF(SUMPRODUCT((MOD(MOD(H151,prime)*ROW($A$1:$A$313),prime)=1)*(ROW($A$1:$A$313)&lt;prime)*ROW($A$1:$A$313))=0,NA(),SUMPRODUCT((MOD(MOD(H151,prime)*ROW($A$1:$A$313),prime)=1)*(ROW($A$1:$A$313)&lt;prime)*ROW($A$1:$A$313)))</f>
        <v/>
      </c>
      <c r="J151">
        <f>MOD(G151*I151,prime)</f>
        <v/>
      </c>
    </row>
    <row r="152">
      <c r="A152" t="n">
        <v>147</v>
      </c>
      <c r="B152">
        <f>MOD(J151*J151-B151-Gx,prime)</f>
        <v/>
      </c>
      <c r="C152">
        <f>MOD(J151*(Gx-B152)-Gy,prime)</f>
        <v/>
      </c>
      <c r="D152">
        <f>MOD(C152*C152,prime)</f>
        <v/>
      </c>
      <c r="E152">
        <f>MOD(B152^3+a*B152+b,prime)</f>
        <v/>
      </c>
      <c r="G152">
        <f>MOD(Gy-C152,prime)</f>
        <v/>
      </c>
      <c r="H152">
        <f>MOD(Gx-B152,prime)</f>
        <v/>
      </c>
      <c r="I152">
        <f>IF(SUMPRODUCT((MOD(MOD(H152,prime)*ROW($A$1:$A$313),prime)=1)*(ROW($A$1:$A$313)&lt;prime)*ROW($A$1:$A$313))=0,NA(),SUMPRODUCT((MOD(MOD(H152,prime)*ROW($A$1:$A$313),prime)=1)*(ROW($A$1:$A$313)&lt;prime)*ROW($A$1:$A$313)))</f>
        <v/>
      </c>
      <c r="J152">
        <f>MOD(G152*I152,prime)</f>
        <v/>
      </c>
    </row>
    <row r="153">
      <c r="A153" t="n">
        <v>148</v>
      </c>
      <c r="B153">
        <f>MOD(J152*J152-B152-Gx,prime)</f>
        <v/>
      </c>
      <c r="C153">
        <f>MOD(J152*(Gx-B153)-Gy,prime)</f>
        <v/>
      </c>
      <c r="D153">
        <f>MOD(C153*C153,prime)</f>
        <v/>
      </c>
      <c r="E153">
        <f>MOD(B153^3+a*B153+b,prime)</f>
        <v/>
      </c>
      <c r="G153">
        <f>MOD(Gy-C153,prime)</f>
        <v/>
      </c>
      <c r="H153">
        <f>MOD(Gx-B153,prime)</f>
        <v/>
      </c>
      <c r="I153">
        <f>IF(SUMPRODUCT((MOD(MOD(H153,prime)*ROW($A$1:$A$313),prime)=1)*(ROW($A$1:$A$313)&lt;prime)*ROW($A$1:$A$313))=0,NA(),SUMPRODUCT((MOD(MOD(H153,prime)*ROW($A$1:$A$313),prime)=1)*(ROW($A$1:$A$313)&lt;prime)*ROW($A$1:$A$313)))</f>
        <v/>
      </c>
      <c r="J153">
        <f>MOD(G153*I153,prime)</f>
        <v/>
      </c>
    </row>
    <row r="154">
      <c r="A154" t="n">
        <v>149</v>
      </c>
      <c r="B154">
        <f>MOD(J153*J153-B153-Gx,prime)</f>
        <v/>
      </c>
      <c r="C154">
        <f>MOD(J153*(Gx-B154)-Gy,prime)</f>
        <v/>
      </c>
      <c r="D154">
        <f>MOD(C154*C154,prime)</f>
        <v/>
      </c>
      <c r="E154">
        <f>MOD(B154^3+a*B154+b,prime)</f>
        <v/>
      </c>
      <c r="G154">
        <f>MOD(Gy-C154,prime)</f>
        <v/>
      </c>
      <c r="H154">
        <f>MOD(Gx-B154,prime)</f>
        <v/>
      </c>
      <c r="I154">
        <f>IF(SUMPRODUCT((MOD(MOD(H154,prime)*ROW($A$1:$A$313),prime)=1)*(ROW($A$1:$A$313)&lt;prime)*ROW($A$1:$A$313))=0,NA(),SUMPRODUCT((MOD(MOD(H154,prime)*ROW($A$1:$A$313),prime)=1)*(ROW($A$1:$A$313)&lt;prime)*ROW($A$1:$A$313)))</f>
        <v/>
      </c>
      <c r="J154">
        <f>MOD(G154*I154,prime)</f>
        <v/>
      </c>
    </row>
    <row r="155">
      <c r="A155" t="n">
        <v>150</v>
      </c>
      <c r="B155">
        <f>MOD(J154*J154-B154-Gx,prime)</f>
        <v/>
      </c>
      <c r="C155">
        <f>MOD(J154*(Gx-B155)-Gy,prime)</f>
        <v/>
      </c>
      <c r="D155">
        <f>MOD(C155*C155,prime)</f>
        <v/>
      </c>
      <c r="E155">
        <f>MOD(B155^3+a*B155+b,prime)</f>
        <v/>
      </c>
      <c r="G155">
        <f>MOD(Gy-C155,prime)</f>
        <v/>
      </c>
      <c r="H155">
        <f>MOD(Gx-B155,prime)</f>
        <v/>
      </c>
      <c r="I155">
        <f>IF(SUMPRODUCT((MOD(MOD(H155,prime)*ROW($A$1:$A$313),prime)=1)*(ROW($A$1:$A$313)&lt;prime)*ROW($A$1:$A$313))=0,NA(),SUMPRODUCT((MOD(MOD(H155,prime)*ROW($A$1:$A$313),prime)=1)*(ROW($A$1:$A$313)&lt;prime)*ROW($A$1:$A$313)))</f>
        <v/>
      </c>
      <c r="J155">
        <f>MOD(G155*I155,prime)</f>
        <v/>
      </c>
    </row>
    <row r="156">
      <c r="A156" t="n">
        <v>151</v>
      </c>
      <c r="B156">
        <f>MOD(J155*J155-B155-Gx,prime)</f>
        <v/>
      </c>
      <c r="C156">
        <f>MOD(J155*(Gx-B156)-Gy,prime)</f>
        <v/>
      </c>
      <c r="D156">
        <f>MOD(C156*C156,prime)</f>
        <v/>
      </c>
      <c r="E156">
        <f>MOD(B156^3+a*B156+b,prime)</f>
        <v/>
      </c>
      <c r="G156">
        <f>MOD(Gy-C156,prime)</f>
        <v/>
      </c>
      <c r="H156">
        <f>MOD(Gx-B156,prime)</f>
        <v/>
      </c>
      <c r="I156">
        <f>IF(SUMPRODUCT((MOD(MOD(H156,prime)*ROW($A$1:$A$313),prime)=1)*(ROW($A$1:$A$313)&lt;prime)*ROW($A$1:$A$313))=0,NA(),SUMPRODUCT((MOD(MOD(H156,prime)*ROW($A$1:$A$313),prime)=1)*(ROW($A$1:$A$313)&lt;prime)*ROW($A$1:$A$313)))</f>
        <v/>
      </c>
      <c r="J156">
        <f>MOD(G156*I156,prime)</f>
        <v/>
      </c>
    </row>
    <row r="157">
      <c r="A157" t="n">
        <v>152</v>
      </c>
      <c r="B157">
        <f>MOD(J156*J156-B156-Gx,prime)</f>
        <v/>
      </c>
      <c r="C157">
        <f>MOD(J156*(Gx-B157)-Gy,prime)</f>
        <v/>
      </c>
      <c r="D157">
        <f>MOD(C157*C157,prime)</f>
        <v/>
      </c>
      <c r="E157">
        <f>MOD(B157^3+a*B157+b,prime)</f>
        <v/>
      </c>
      <c r="G157">
        <f>MOD(Gy-C157,prime)</f>
        <v/>
      </c>
      <c r="H157">
        <f>MOD(Gx-B157,prime)</f>
        <v/>
      </c>
      <c r="I157">
        <f>IF(SUMPRODUCT((MOD(MOD(H157,prime)*ROW($A$1:$A$313),prime)=1)*(ROW($A$1:$A$313)&lt;prime)*ROW($A$1:$A$313))=0,NA(),SUMPRODUCT((MOD(MOD(H157,prime)*ROW($A$1:$A$313),prime)=1)*(ROW($A$1:$A$313)&lt;prime)*ROW($A$1:$A$313)))</f>
        <v/>
      </c>
      <c r="J157">
        <f>MOD(G157*I157,prime)</f>
        <v/>
      </c>
    </row>
    <row r="158">
      <c r="A158" t="n">
        <v>153</v>
      </c>
      <c r="B158">
        <f>MOD(J157*J157-B157-Gx,prime)</f>
        <v/>
      </c>
      <c r="C158">
        <f>MOD(J157*(Gx-B158)-Gy,prime)</f>
        <v/>
      </c>
      <c r="D158">
        <f>MOD(C158*C158,prime)</f>
        <v/>
      </c>
      <c r="E158">
        <f>MOD(B158^3+a*B158+b,prime)</f>
        <v/>
      </c>
      <c r="G158">
        <f>MOD(Gy-C158,prime)</f>
        <v/>
      </c>
      <c r="H158">
        <f>MOD(Gx-B158,prime)</f>
        <v/>
      </c>
      <c r="I158">
        <f>IF(SUMPRODUCT((MOD(MOD(H158,prime)*ROW($A$1:$A$313),prime)=1)*(ROW($A$1:$A$313)&lt;prime)*ROW($A$1:$A$313))=0,NA(),SUMPRODUCT((MOD(MOD(H158,prime)*ROW($A$1:$A$313),prime)=1)*(ROW($A$1:$A$313)&lt;prime)*ROW($A$1:$A$313)))</f>
        <v/>
      </c>
      <c r="J158">
        <f>MOD(G158*I158,prime)</f>
        <v/>
      </c>
    </row>
    <row r="159">
      <c r="A159" t="n">
        <v>154</v>
      </c>
      <c r="B159">
        <f>MOD(J158*J158-B158-Gx,prime)</f>
        <v/>
      </c>
      <c r="C159">
        <f>MOD(J158*(Gx-B159)-Gy,prime)</f>
        <v/>
      </c>
      <c r="D159">
        <f>MOD(C159*C159,prime)</f>
        <v/>
      </c>
      <c r="E159">
        <f>MOD(B159^3+a*B159+b,prime)</f>
        <v/>
      </c>
      <c r="G159">
        <f>MOD(Gy-C159,prime)</f>
        <v/>
      </c>
      <c r="H159">
        <f>MOD(Gx-B159,prime)</f>
        <v/>
      </c>
      <c r="I159">
        <f>IF(SUMPRODUCT((MOD(MOD(H159,prime)*ROW($A$1:$A$313),prime)=1)*(ROW($A$1:$A$313)&lt;prime)*ROW($A$1:$A$313))=0,NA(),SUMPRODUCT((MOD(MOD(H159,prime)*ROW($A$1:$A$313),prime)=1)*(ROW($A$1:$A$313)&lt;prime)*ROW($A$1:$A$313)))</f>
        <v/>
      </c>
      <c r="J159">
        <f>MOD(G159*I159,prime)</f>
        <v/>
      </c>
    </row>
    <row r="160">
      <c r="A160" t="n">
        <v>155</v>
      </c>
      <c r="B160">
        <f>MOD(J159*J159-B159-Gx,prime)</f>
        <v/>
      </c>
      <c r="C160">
        <f>MOD(J159*(Gx-B160)-Gy,prime)</f>
        <v/>
      </c>
      <c r="D160">
        <f>MOD(C160*C160,prime)</f>
        <v/>
      </c>
      <c r="E160">
        <f>MOD(B160^3+a*B160+b,prime)</f>
        <v/>
      </c>
      <c r="G160">
        <f>MOD(Gy-C160,prime)</f>
        <v/>
      </c>
      <c r="H160">
        <f>MOD(Gx-B160,prime)</f>
        <v/>
      </c>
      <c r="I160">
        <f>IF(SUMPRODUCT((MOD(MOD(H160,prime)*ROW($A$1:$A$313),prime)=1)*(ROW($A$1:$A$313)&lt;prime)*ROW($A$1:$A$313))=0,NA(),SUMPRODUCT((MOD(MOD(H160,prime)*ROW($A$1:$A$313),prime)=1)*(ROW($A$1:$A$313)&lt;prime)*ROW($A$1:$A$313)))</f>
        <v/>
      </c>
      <c r="J160">
        <f>MOD(G160*I160,prime)</f>
        <v/>
      </c>
    </row>
    <row r="161">
      <c r="A161" t="n">
        <v>156</v>
      </c>
      <c r="B161">
        <f>MOD(J160*J160-B160-Gx,prime)</f>
        <v/>
      </c>
      <c r="C161">
        <f>MOD(J160*(Gx-B161)-Gy,prime)</f>
        <v/>
      </c>
      <c r="D161">
        <f>MOD(C161*C161,prime)</f>
        <v/>
      </c>
      <c r="E161">
        <f>MOD(B161^3+a*B161+b,prime)</f>
        <v/>
      </c>
      <c r="G161">
        <f>MOD(Gy-C161,prime)</f>
        <v/>
      </c>
      <c r="H161">
        <f>MOD(Gx-B161,prime)</f>
        <v/>
      </c>
      <c r="I161">
        <f>IF(SUMPRODUCT((MOD(MOD(H161,prime)*ROW($A$1:$A$313),prime)=1)*(ROW($A$1:$A$313)&lt;prime)*ROW($A$1:$A$313))=0,NA(),SUMPRODUCT((MOD(MOD(H161,prime)*ROW($A$1:$A$313),prime)=1)*(ROW($A$1:$A$313)&lt;prime)*ROW($A$1:$A$313)))</f>
        <v/>
      </c>
      <c r="J161">
        <f>MOD(G161*I161,prime)</f>
        <v/>
      </c>
    </row>
    <row r="162">
      <c r="A162" t="n">
        <v>157</v>
      </c>
      <c r="B162">
        <f>MOD(J161*J161-B161-Gx,prime)</f>
        <v/>
      </c>
      <c r="C162">
        <f>MOD(J161*(Gx-B162)-Gy,prime)</f>
        <v/>
      </c>
      <c r="D162">
        <f>MOD(C162*C162,prime)</f>
        <v/>
      </c>
      <c r="E162">
        <f>MOD(B162^3+a*B162+b,prime)</f>
        <v/>
      </c>
      <c r="G162">
        <f>MOD(Gy-C162,prime)</f>
        <v/>
      </c>
      <c r="H162">
        <f>MOD(Gx-B162,prime)</f>
        <v/>
      </c>
      <c r="I162">
        <f>IF(SUMPRODUCT((MOD(MOD(H162,prime)*ROW($A$1:$A$313),prime)=1)*(ROW($A$1:$A$313)&lt;prime)*ROW($A$1:$A$313))=0,NA(),SUMPRODUCT((MOD(MOD(H162,prime)*ROW($A$1:$A$313),prime)=1)*(ROW($A$1:$A$313)&lt;prime)*ROW($A$1:$A$313)))</f>
        <v/>
      </c>
      <c r="J162">
        <f>MOD(G162*I162,prime)</f>
        <v/>
      </c>
    </row>
    <row r="163">
      <c r="A163" t="n">
        <v>158</v>
      </c>
      <c r="B163">
        <f>MOD(J162*J162-B162-Gx,prime)</f>
        <v/>
      </c>
      <c r="C163">
        <f>MOD(J162*(Gx-B163)-Gy,prime)</f>
        <v/>
      </c>
      <c r="D163">
        <f>MOD(C163*C163,prime)</f>
        <v/>
      </c>
      <c r="E163">
        <f>MOD(B163^3+a*B163+b,prime)</f>
        <v/>
      </c>
      <c r="G163">
        <f>MOD(Gy-C163,prime)</f>
        <v/>
      </c>
      <c r="H163">
        <f>MOD(Gx-B163,prime)</f>
        <v/>
      </c>
      <c r="I163">
        <f>IF(SUMPRODUCT((MOD(MOD(H163,prime)*ROW($A$1:$A$313),prime)=1)*(ROW($A$1:$A$313)&lt;prime)*ROW($A$1:$A$313))=0,NA(),SUMPRODUCT((MOD(MOD(H163,prime)*ROW($A$1:$A$313),prime)=1)*(ROW($A$1:$A$313)&lt;prime)*ROW($A$1:$A$313)))</f>
        <v/>
      </c>
      <c r="J163">
        <f>MOD(G163*I163,prime)</f>
        <v/>
      </c>
    </row>
    <row r="164">
      <c r="A164" t="n">
        <v>159</v>
      </c>
      <c r="B164">
        <f>MOD(J163*J163-B163-Gx,prime)</f>
        <v/>
      </c>
      <c r="C164">
        <f>MOD(J163*(Gx-B164)-Gy,prime)</f>
        <v/>
      </c>
      <c r="D164">
        <f>MOD(C164*C164,prime)</f>
        <v/>
      </c>
      <c r="E164">
        <f>MOD(B164^3+a*B164+b,prime)</f>
        <v/>
      </c>
      <c r="G164">
        <f>MOD(Gy-C164,prime)</f>
        <v/>
      </c>
      <c r="H164">
        <f>MOD(Gx-B164,prime)</f>
        <v/>
      </c>
      <c r="I164">
        <f>IF(SUMPRODUCT((MOD(MOD(H164,prime)*ROW($A$1:$A$313),prime)=1)*(ROW($A$1:$A$313)&lt;prime)*ROW($A$1:$A$313))=0,NA(),SUMPRODUCT((MOD(MOD(H164,prime)*ROW($A$1:$A$313),prime)=1)*(ROW($A$1:$A$313)&lt;prime)*ROW($A$1:$A$313)))</f>
        <v/>
      </c>
      <c r="J164">
        <f>MOD(G164*I164,prime)</f>
        <v/>
      </c>
    </row>
    <row r="165">
      <c r="A165" t="n">
        <v>160</v>
      </c>
      <c r="B165">
        <f>MOD(J164*J164-B164-Gx,prime)</f>
        <v/>
      </c>
      <c r="C165">
        <f>MOD(J164*(Gx-B165)-Gy,prime)</f>
        <v/>
      </c>
      <c r="D165">
        <f>MOD(C165*C165,prime)</f>
        <v/>
      </c>
      <c r="E165">
        <f>MOD(B165^3+a*B165+b,prime)</f>
        <v/>
      </c>
      <c r="G165">
        <f>MOD(Gy-C165,prime)</f>
        <v/>
      </c>
      <c r="H165">
        <f>MOD(Gx-B165,prime)</f>
        <v/>
      </c>
      <c r="I165">
        <f>IF(SUMPRODUCT((MOD(MOD(H165,prime)*ROW($A$1:$A$313),prime)=1)*(ROW($A$1:$A$313)&lt;prime)*ROW($A$1:$A$313))=0,NA(),SUMPRODUCT((MOD(MOD(H165,prime)*ROW($A$1:$A$313),prime)=1)*(ROW($A$1:$A$313)&lt;prime)*ROW($A$1:$A$313)))</f>
        <v/>
      </c>
      <c r="J165">
        <f>MOD(G165*I165,prime)</f>
        <v/>
      </c>
    </row>
    <row r="166">
      <c r="A166" t="n">
        <v>161</v>
      </c>
      <c r="B166">
        <f>MOD(J165*J165-B165-Gx,prime)</f>
        <v/>
      </c>
      <c r="C166">
        <f>MOD(J165*(Gx-B166)-Gy,prime)</f>
        <v/>
      </c>
      <c r="D166">
        <f>MOD(C166*C166,prime)</f>
        <v/>
      </c>
      <c r="E166">
        <f>MOD(B166^3+a*B166+b,prime)</f>
        <v/>
      </c>
      <c r="G166">
        <f>MOD(Gy-C166,prime)</f>
        <v/>
      </c>
      <c r="H166">
        <f>MOD(Gx-B166,prime)</f>
        <v/>
      </c>
      <c r="I166">
        <f>IF(SUMPRODUCT((MOD(MOD(H166,prime)*ROW($A$1:$A$313),prime)=1)*(ROW($A$1:$A$313)&lt;prime)*ROW($A$1:$A$313))=0,NA(),SUMPRODUCT((MOD(MOD(H166,prime)*ROW($A$1:$A$313),prime)=1)*(ROW($A$1:$A$313)&lt;prime)*ROW($A$1:$A$313)))</f>
        <v/>
      </c>
      <c r="J166">
        <f>MOD(G166*I166,prime)</f>
        <v/>
      </c>
    </row>
    <row r="167">
      <c r="A167" t="n">
        <v>162</v>
      </c>
      <c r="B167">
        <f>MOD(J166*J166-B166-Gx,prime)</f>
        <v/>
      </c>
      <c r="C167">
        <f>MOD(J166*(Gx-B167)-Gy,prime)</f>
        <v/>
      </c>
      <c r="D167">
        <f>MOD(C167*C167,prime)</f>
        <v/>
      </c>
      <c r="E167">
        <f>MOD(B167^3+a*B167+b,prime)</f>
        <v/>
      </c>
      <c r="G167">
        <f>MOD(Gy-C167,prime)</f>
        <v/>
      </c>
      <c r="H167">
        <f>MOD(Gx-B167,prime)</f>
        <v/>
      </c>
      <c r="I167">
        <f>IF(SUMPRODUCT((MOD(MOD(H167,prime)*ROW($A$1:$A$313),prime)=1)*(ROW($A$1:$A$313)&lt;prime)*ROW($A$1:$A$313))=0,NA(),SUMPRODUCT((MOD(MOD(H167,prime)*ROW($A$1:$A$313),prime)=1)*(ROW($A$1:$A$313)&lt;prime)*ROW($A$1:$A$313)))</f>
        <v/>
      </c>
      <c r="J167">
        <f>MOD(G167*I167,prime)</f>
        <v/>
      </c>
    </row>
    <row r="168">
      <c r="A168" t="n">
        <v>163</v>
      </c>
      <c r="B168">
        <f>MOD(J167*J167-B167-Gx,prime)</f>
        <v/>
      </c>
      <c r="C168">
        <f>MOD(J167*(Gx-B168)-Gy,prime)</f>
        <v/>
      </c>
      <c r="D168">
        <f>MOD(C168*C168,prime)</f>
        <v/>
      </c>
      <c r="E168">
        <f>MOD(B168^3+a*B168+b,prime)</f>
        <v/>
      </c>
      <c r="G168">
        <f>MOD(Gy-C168,prime)</f>
        <v/>
      </c>
      <c r="H168">
        <f>MOD(Gx-B168,prime)</f>
        <v/>
      </c>
      <c r="I168">
        <f>IF(SUMPRODUCT((MOD(MOD(H168,prime)*ROW($A$1:$A$313),prime)=1)*(ROW($A$1:$A$313)&lt;prime)*ROW($A$1:$A$313))=0,NA(),SUMPRODUCT((MOD(MOD(H168,prime)*ROW($A$1:$A$313),prime)=1)*(ROW($A$1:$A$313)&lt;prime)*ROW($A$1:$A$313)))</f>
        <v/>
      </c>
      <c r="J168">
        <f>MOD(G168*I168,prime)</f>
        <v/>
      </c>
    </row>
    <row r="169">
      <c r="A169" t="n">
        <v>164</v>
      </c>
      <c r="B169">
        <f>MOD(J168*J168-B168-Gx,prime)</f>
        <v/>
      </c>
      <c r="C169">
        <f>MOD(J168*(Gx-B169)-Gy,prime)</f>
        <v/>
      </c>
      <c r="D169">
        <f>MOD(C169*C169,prime)</f>
        <v/>
      </c>
      <c r="E169">
        <f>MOD(B169^3+a*B169+b,prime)</f>
        <v/>
      </c>
      <c r="G169">
        <f>MOD(Gy-C169,prime)</f>
        <v/>
      </c>
      <c r="H169">
        <f>MOD(Gx-B169,prime)</f>
        <v/>
      </c>
      <c r="I169">
        <f>IF(SUMPRODUCT((MOD(MOD(H169,prime)*ROW($A$1:$A$313),prime)=1)*(ROW($A$1:$A$313)&lt;prime)*ROW($A$1:$A$313))=0,NA(),SUMPRODUCT((MOD(MOD(H169,prime)*ROW($A$1:$A$313),prime)=1)*(ROW($A$1:$A$313)&lt;prime)*ROW($A$1:$A$313)))</f>
        <v/>
      </c>
      <c r="J169">
        <f>MOD(G169*I169,prime)</f>
        <v/>
      </c>
    </row>
    <row r="170">
      <c r="A170" t="n">
        <v>165</v>
      </c>
      <c r="B170">
        <f>MOD(J169*J169-B169-Gx,prime)</f>
        <v/>
      </c>
      <c r="C170">
        <f>MOD(J169*(Gx-B170)-Gy,prime)</f>
        <v/>
      </c>
      <c r="D170">
        <f>MOD(C170*C170,prime)</f>
        <v/>
      </c>
      <c r="E170">
        <f>MOD(B170^3+a*B170+b,prime)</f>
        <v/>
      </c>
      <c r="G170">
        <f>MOD(Gy-C170,prime)</f>
        <v/>
      </c>
      <c r="H170">
        <f>MOD(Gx-B170,prime)</f>
        <v/>
      </c>
      <c r="I170">
        <f>IF(SUMPRODUCT((MOD(MOD(H170,prime)*ROW($A$1:$A$313),prime)=1)*(ROW($A$1:$A$313)&lt;prime)*ROW($A$1:$A$313))=0,NA(),SUMPRODUCT((MOD(MOD(H170,prime)*ROW($A$1:$A$313),prime)=1)*(ROW($A$1:$A$313)&lt;prime)*ROW($A$1:$A$313)))</f>
        <v/>
      </c>
      <c r="J170">
        <f>MOD(G170*I170,prime)</f>
        <v/>
      </c>
    </row>
    <row r="171">
      <c r="A171" t="n">
        <v>166</v>
      </c>
      <c r="B171">
        <f>MOD(J170*J170-B170-Gx,prime)</f>
        <v/>
      </c>
      <c r="C171">
        <f>MOD(J170*(Gx-B171)-Gy,prime)</f>
        <v/>
      </c>
      <c r="D171">
        <f>MOD(C171*C171,prime)</f>
        <v/>
      </c>
      <c r="E171">
        <f>MOD(B171^3+a*B171+b,prime)</f>
        <v/>
      </c>
      <c r="G171">
        <f>MOD(Gy-C171,prime)</f>
        <v/>
      </c>
      <c r="H171">
        <f>MOD(Gx-B171,prime)</f>
        <v/>
      </c>
      <c r="I171">
        <f>IF(SUMPRODUCT((MOD(MOD(H171,prime)*ROW($A$1:$A$313),prime)=1)*(ROW($A$1:$A$313)&lt;prime)*ROW($A$1:$A$313))=0,NA(),SUMPRODUCT((MOD(MOD(H171,prime)*ROW($A$1:$A$313),prime)=1)*(ROW($A$1:$A$313)&lt;prime)*ROW($A$1:$A$313)))</f>
        <v/>
      </c>
      <c r="J171">
        <f>MOD(G171*I171,prime)</f>
        <v/>
      </c>
    </row>
    <row r="172">
      <c r="A172" t="n">
        <v>167</v>
      </c>
      <c r="B172">
        <f>MOD(J171*J171-B171-Gx,prime)</f>
        <v/>
      </c>
      <c r="C172">
        <f>MOD(J171*(Gx-B172)-Gy,prime)</f>
        <v/>
      </c>
      <c r="D172">
        <f>MOD(C172*C172,prime)</f>
        <v/>
      </c>
      <c r="E172">
        <f>MOD(B172^3+a*B172+b,prime)</f>
        <v/>
      </c>
      <c r="G172">
        <f>MOD(Gy-C172,prime)</f>
        <v/>
      </c>
      <c r="H172">
        <f>MOD(Gx-B172,prime)</f>
        <v/>
      </c>
      <c r="I172">
        <f>IF(SUMPRODUCT((MOD(MOD(H172,prime)*ROW($A$1:$A$313),prime)=1)*(ROW($A$1:$A$313)&lt;prime)*ROW($A$1:$A$313))=0,NA(),SUMPRODUCT((MOD(MOD(H172,prime)*ROW($A$1:$A$313),prime)=1)*(ROW($A$1:$A$313)&lt;prime)*ROW($A$1:$A$313)))</f>
        <v/>
      </c>
      <c r="J172">
        <f>MOD(G172*I172,prime)</f>
        <v/>
      </c>
    </row>
    <row r="173">
      <c r="A173" t="n">
        <v>168</v>
      </c>
      <c r="B173">
        <f>MOD(J172*J172-B172-Gx,prime)</f>
        <v/>
      </c>
      <c r="C173">
        <f>MOD(J172*(Gx-B173)-Gy,prime)</f>
        <v/>
      </c>
      <c r="D173">
        <f>MOD(C173*C173,prime)</f>
        <v/>
      </c>
      <c r="E173">
        <f>MOD(B173^3+a*B173+b,prime)</f>
        <v/>
      </c>
      <c r="G173">
        <f>MOD(Gy-C173,prime)</f>
        <v/>
      </c>
      <c r="H173">
        <f>MOD(Gx-B173,prime)</f>
        <v/>
      </c>
      <c r="I173">
        <f>IF(SUMPRODUCT((MOD(MOD(H173,prime)*ROW($A$1:$A$313),prime)=1)*(ROW($A$1:$A$313)&lt;prime)*ROW($A$1:$A$313))=0,NA(),SUMPRODUCT((MOD(MOD(H173,prime)*ROW($A$1:$A$313),prime)=1)*(ROW($A$1:$A$313)&lt;prime)*ROW($A$1:$A$313)))</f>
        <v/>
      </c>
      <c r="J173">
        <f>MOD(G173*I173,prime)</f>
        <v/>
      </c>
    </row>
    <row r="174">
      <c r="A174" t="n">
        <v>169</v>
      </c>
      <c r="B174">
        <f>MOD(J173*J173-B173-Gx,prime)</f>
        <v/>
      </c>
      <c r="C174">
        <f>MOD(J173*(Gx-B174)-Gy,prime)</f>
        <v/>
      </c>
      <c r="D174">
        <f>MOD(C174*C174,prime)</f>
        <v/>
      </c>
      <c r="E174">
        <f>MOD(B174^3+a*B174+b,prime)</f>
        <v/>
      </c>
      <c r="G174">
        <f>MOD(Gy-C174,prime)</f>
        <v/>
      </c>
      <c r="H174">
        <f>MOD(Gx-B174,prime)</f>
        <v/>
      </c>
      <c r="I174">
        <f>IF(SUMPRODUCT((MOD(MOD(H174,prime)*ROW($A$1:$A$313),prime)=1)*(ROW($A$1:$A$313)&lt;prime)*ROW($A$1:$A$313))=0,NA(),SUMPRODUCT((MOD(MOD(H174,prime)*ROW($A$1:$A$313),prime)=1)*(ROW($A$1:$A$313)&lt;prime)*ROW($A$1:$A$313)))</f>
        <v/>
      </c>
      <c r="J174">
        <f>MOD(G174*I174,prime)</f>
        <v/>
      </c>
    </row>
    <row r="175">
      <c r="A175" t="n">
        <v>170</v>
      </c>
      <c r="B175">
        <f>MOD(J174*J174-B174-Gx,prime)</f>
        <v/>
      </c>
      <c r="C175">
        <f>MOD(J174*(Gx-B175)-Gy,prime)</f>
        <v/>
      </c>
      <c r="D175">
        <f>MOD(C175*C175,prime)</f>
        <v/>
      </c>
      <c r="E175">
        <f>MOD(B175^3+a*B175+b,prime)</f>
        <v/>
      </c>
      <c r="G175">
        <f>MOD(Gy-C175,prime)</f>
        <v/>
      </c>
      <c r="H175">
        <f>MOD(Gx-B175,prime)</f>
        <v/>
      </c>
      <c r="I175">
        <f>IF(SUMPRODUCT((MOD(MOD(H175,prime)*ROW($A$1:$A$313),prime)=1)*(ROW($A$1:$A$313)&lt;prime)*ROW($A$1:$A$313))=0,NA(),SUMPRODUCT((MOD(MOD(H175,prime)*ROW($A$1:$A$313),prime)=1)*(ROW($A$1:$A$313)&lt;prime)*ROW($A$1:$A$313)))</f>
        <v/>
      </c>
      <c r="J175">
        <f>MOD(G175*I175,prime)</f>
        <v/>
      </c>
    </row>
    <row r="176">
      <c r="A176" t="n">
        <v>171</v>
      </c>
      <c r="B176">
        <f>MOD(J175*J175-B175-Gx,prime)</f>
        <v/>
      </c>
      <c r="C176">
        <f>MOD(J175*(Gx-B176)-Gy,prime)</f>
        <v/>
      </c>
      <c r="D176">
        <f>MOD(C176*C176,prime)</f>
        <v/>
      </c>
      <c r="E176">
        <f>MOD(B176^3+a*B176+b,prime)</f>
        <v/>
      </c>
      <c r="G176">
        <f>MOD(Gy-C176,prime)</f>
        <v/>
      </c>
      <c r="H176">
        <f>MOD(Gx-B176,prime)</f>
        <v/>
      </c>
      <c r="I176">
        <f>IF(SUMPRODUCT((MOD(MOD(H176,prime)*ROW($A$1:$A$313),prime)=1)*(ROW($A$1:$A$313)&lt;prime)*ROW($A$1:$A$313))=0,NA(),SUMPRODUCT((MOD(MOD(H176,prime)*ROW($A$1:$A$313),prime)=1)*(ROW($A$1:$A$313)&lt;prime)*ROW($A$1:$A$313)))</f>
        <v/>
      </c>
      <c r="J176">
        <f>MOD(G176*I176,prime)</f>
        <v/>
      </c>
    </row>
    <row r="177">
      <c r="A177" t="n">
        <v>172</v>
      </c>
      <c r="B177">
        <f>MOD(J176*J176-B176-Gx,prime)</f>
        <v/>
      </c>
      <c r="C177">
        <f>MOD(J176*(Gx-B177)-Gy,prime)</f>
        <v/>
      </c>
      <c r="D177">
        <f>MOD(C177*C177,prime)</f>
        <v/>
      </c>
      <c r="E177">
        <f>MOD(B177^3+a*B177+b,prime)</f>
        <v/>
      </c>
      <c r="G177">
        <f>MOD(Gy-C177,prime)</f>
        <v/>
      </c>
      <c r="H177">
        <f>MOD(Gx-B177,prime)</f>
        <v/>
      </c>
      <c r="I177">
        <f>IF(SUMPRODUCT((MOD(MOD(H177,prime)*ROW($A$1:$A$313),prime)=1)*(ROW($A$1:$A$313)&lt;prime)*ROW($A$1:$A$313))=0,NA(),SUMPRODUCT((MOD(MOD(H177,prime)*ROW($A$1:$A$313),prime)=1)*(ROW($A$1:$A$313)&lt;prime)*ROW($A$1:$A$313)))</f>
        <v/>
      </c>
      <c r="J177">
        <f>MOD(G177*I177,prime)</f>
        <v/>
      </c>
    </row>
    <row r="178">
      <c r="A178" t="n">
        <v>173</v>
      </c>
      <c r="B178">
        <f>MOD(J177*J177-B177-Gx,prime)</f>
        <v/>
      </c>
      <c r="C178">
        <f>MOD(J177*(Gx-B178)-Gy,prime)</f>
        <v/>
      </c>
      <c r="D178">
        <f>MOD(C178*C178,prime)</f>
        <v/>
      </c>
      <c r="E178">
        <f>MOD(B178^3+a*B178+b,prime)</f>
        <v/>
      </c>
      <c r="G178">
        <f>MOD(Gy-C178,prime)</f>
        <v/>
      </c>
      <c r="H178">
        <f>MOD(Gx-B178,prime)</f>
        <v/>
      </c>
      <c r="I178">
        <f>IF(SUMPRODUCT((MOD(MOD(H178,prime)*ROW($A$1:$A$313),prime)=1)*(ROW($A$1:$A$313)&lt;prime)*ROW($A$1:$A$313))=0,NA(),SUMPRODUCT((MOD(MOD(H178,prime)*ROW($A$1:$A$313),prime)=1)*(ROW($A$1:$A$313)&lt;prime)*ROW($A$1:$A$313)))</f>
        <v/>
      </c>
      <c r="J178">
        <f>MOD(G178*I178,prime)</f>
        <v/>
      </c>
    </row>
    <row r="179">
      <c r="A179" t="n">
        <v>174</v>
      </c>
      <c r="B179">
        <f>MOD(J178*J178-B178-Gx,prime)</f>
        <v/>
      </c>
      <c r="C179">
        <f>MOD(J178*(Gx-B179)-Gy,prime)</f>
        <v/>
      </c>
      <c r="D179">
        <f>MOD(C179*C179,prime)</f>
        <v/>
      </c>
      <c r="E179">
        <f>MOD(B179^3+a*B179+b,prime)</f>
        <v/>
      </c>
      <c r="G179">
        <f>MOD(Gy-C179,prime)</f>
        <v/>
      </c>
      <c r="H179">
        <f>MOD(Gx-B179,prime)</f>
        <v/>
      </c>
      <c r="I179">
        <f>IF(SUMPRODUCT((MOD(MOD(H179,prime)*ROW($A$1:$A$313),prime)=1)*(ROW($A$1:$A$313)&lt;prime)*ROW($A$1:$A$313))=0,NA(),SUMPRODUCT((MOD(MOD(H179,prime)*ROW($A$1:$A$313),prime)=1)*(ROW($A$1:$A$313)&lt;prime)*ROW($A$1:$A$313)))</f>
        <v/>
      </c>
      <c r="J179">
        <f>MOD(G179*I179,prime)</f>
        <v/>
      </c>
    </row>
    <row r="180">
      <c r="A180" t="n">
        <v>175</v>
      </c>
      <c r="B180">
        <f>MOD(J179*J179-B179-Gx,prime)</f>
        <v/>
      </c>
      <c r="C180">
        <f>MOD(J179*(Gx-B180)-Gy,prime)</f>
        <v/>
      </c>
      <c r="D180">
        <f>MOD(C180*C180,prime)</f>
        <v/>
      </c>
      <c r="E180">
        <f>MOD(B180^3+a*B180+b,prime)</f>
        <v/>
      </c>
      <c r="G180">
        <f>MOD(Gy-C180,prime)</f>
        <v/>
      </c>
      <c r="H180">
        <f>MOD(Gx-B180,prime)</f>
        <v/>
      </c>
      <c r="I180">
        <f>IF(SUMPRODUCT((MOD(MOD(H180,prime)*ROW($A$1:$A$313),prime)=1)*(ROW($A$1:$A$313)&lt;prime)*ROW($A$1:$A$313))=0,NA(),SUMPRODUCT((MOD(MOD(H180,prime)*ROW($A$1:$A$313),prime)=1)*(ROW($A$1:$A$313)&lt;prime)*ROW($A$1:$A$313)))</f>
        <v/>
      </c>
      <c r="J180">
        <f>MOD(G180*I180,prime)</f>
        <v/>
      </c>
    </row>
    <row r="181">
      <c r="A181" t="n">
        <v>176</v>
      </c>
      <c r="B181">
        <f>MOD(J180*J180-B180-Gx,prime)</f>
        <v/>
      </c>
      <c r="C181">
        <f>MOD(J180*(Gx-B181)-Gy,prime)</f>
        <v/>
      </c>
      <c r="D181">
        <f>MOD(C181*C181,prime)</f>
        <v/>
      </c>
      <c r="E181">
        <f>MOD(B181^3+a*B181+b,prime)</f>
        <v/>
      </c>
      <c r="G181">
        <f>MOD(Gy-C181,prime)</f>
        <v/>
      </c>
      <c r="H181">
        <f>MOD(Gx-B181,prime)</f>
        <v/>
      </c>
      <c r="I181">
        <f>IF(SUMPRODUCT((MOD(MOD(H181,prime)*ROW($A$1:$A$313),prime)=1)*(ROW($A$1:$A$313)&lt;prime)*ROW($A$1:$A$313))=0,NA(),SUMPRODUCT((MOD(MOD(H181,prime)*ROW($A$1:$A$313),prime)=1)*(ROW($A$1:$A$313)&lt;prime)*ROW($A$1:$A$313)))</f>
        <v/>
      </c>
      <c r="J181">
        <f>MOD(G181*I181,prime)</f>
        <v/>
      </c>
    </row>
    <row r="182">
      <c r="A182" t="n">
        <v>177</v>
      </c>
      <c r="B182">
        <f>MOD(J181*J181-B181-Gx,prime)</f>
        <v/>
      </c>
      <c r="C182">
        <f>MOD(J181*(Gx-B182)-Gy,prime)</f>
        <v/>
      </c>
      <c r="D182">
        <f>MOD(C182*C182,prime)</f>
        <v/>
      </c>
      <c r="E182">
        <f>MOD(B182^3+a*B182+b,prime)</f>
        <v/>
      </c>
      <c r="G182">
        <f>MOD(Gy-C182,prime)</f>
        <v/>
      </c>
      <c r="H182">
        <f>MOD(Gx-B182,prime)</f>
        <v/>
      </c>
      <c r="I182">
        <f>IF(SUMPRODUCT((MOD(MOD(H182,prime)*ROW($A$1:$A$313),prime)=1)*(ROW($A$1:$A$313)&lt;prime)*ROW($A$1:$A$313))=0,NA(),SUMPRODUCT((MOD(MOD(H182,prime)*ROW($A$1:$A$313),prime)=1)*(ROW($A$1:$A$313)&lt;prime)*ROW($A$1:$A$313)))</f>
        <v/>
      </c>
      <c r="J182">
        <f>MOD(G182*I182,prime)</f>
        <v/>
      </c>
    </row>
    <row r="183">
      <c r="A183" t="n">
        <v>178</v>
      </c>
      <c r="B183">
        <f>MOD(J182*J182-B182-Gx,prime)</f>
        <v/>
      </c>
      <c r="C183">
        <f>MOD(J182*(Gx-B183)-Gy,prime)</f>
        <v/>
      </c>
      <c r="D183">
        <f>MOD(C183*C183,prime)</f>
        <v/>
      </c>
      <c r="E183">
        <f>MOD(B183^3+a*B183+b,prime)</f>
        <v/>
      </c>
      <c r="G183">
        <f>MOD(Gy-C183,prime)</f>
        <v/>
      </c>
      <c r="H183">
        <f>MOD(Gx-B183,prime)</f>
        <v/>
      </c>
      <c r="I183">
        <f>IF(SUMPRODUCT((MOD(MOD(H183,prime)*ROW($A$1:$A$313),prime)=1)*(ROW($A$1:$A$313)&lt;prime)*ROW($A$1:$A$313))=0,NA(),SUMPRODUCT((MOD(MOD(H183,prime)*ROW($A$1:$A$313),prime)=1)*(ROW($A$1:$A$313)&lt;prime)*ROW($A$1:$A$313)))</f>
        <v/>
      </c>
      <c r="J183">
        <f>MOD(G183*I183,prime)</f>
        <v/>
      </c>
    </row>
    <row r="184">
      <c r="A184" t="n">
        <v>179</v>
      </c>
      <c r="B184">
        <f>MOD(J183*J183-B183-Gx,prime)</f>
        <v/>
      </c>
      <c r="C184">
        <f>MOD(J183*(Gx-B184)-Gy,prime)</f>
        <v/>
      </c>
      <c r="D184">
        <f>MOD(C184*C184,prime)</f>
        <v/>
      </c>
      <c r="E184">
        <f>MOD(B184^3+a*B184+b,prime)</f>
        <v/>
      </c>
      <c r="G184">
        <f>MOD(Gy-C184,prime)</f>
        <v/>
      </c>
      <c r="H184">
        <f>MOD(Gx-B184,prime)</f>
        <v/>
      </c>
      <c r="I184">
        <f>IF(SUMPRODUCT((MOD(MOD(H184,prime)*ROW($A$1:$A$313),prime)=1)*(ROW($A$1:$A$313)&lt;prime)*ROW($A$1:$A$313))=0,NA(),SUMPRODUCT((MOD(MOD(H184,prime)*ROW($A$1:$A$313),prime)=1)*(ROW($A$1:$A$313)&lt;prime)*ROW($A$1:$A$313)))</f>
        <v/>
      </c>
      <c r="J184">
        <f>MOD(G184*I184,prime)</f>
        <v/>
      </c>
    </row>
    <row r="185">
      <c r="A185" t="n">
        <v>180</v>
      </c>
      <c r="B185">
        <f>MOD(J184*J184-B184-Gx,prime)</f>
        <v/>
      </c>
      <c r="C185">
        <f>MOD(J184*(Gx-B185)-Gy,prime)</f>
        <v/>
      </c>
      <c r="D185">
        <f>MOD(C185*C185,prime)</f>
        <v/>
      </c>
      <c r="E185">
        <f>MOD(B185^3+a*B185+b,prime)</f>
        <v/>
      </c>
      <c r="G185">
        <f>MOD(Gy-C185,prime)</f>
        <v/>
      </c>
      <c r="H185">
        <f>MOD(Gx-B185,prime)</f>
        <v/>
      </c>
      <c r="I185">
        <f>IF(SUMPRODUCT((MOD(MOD(H185,prime)*ROW($A$1:$A$313),prime)=1)*(ROW($A$1:$A$313)&lt;prime)*ROW($A$1:$A$313))=0,NA(),SUMPRODUCT((MOD(MOD(H185,prime)*ROW($A$1:$A$313),prime)=1)*(ROW($A$1:$A$313)&lt;prime)*ROW($A$1:$A$313)))</f>
        <v/>
      </c>
      <c r="J185">
        <f>MOD(G185*I185,prime)</f>
        <v/>
      </c>
    </row>
    <row r="186">
      <c r="A186" t="n">
        <v>181</v>
      </c>
      <c r="B186">
        <f>MOD(J185*J185-B185-Gx,prime)</f>
        <v/>
      </c>
      <c r="C186">
        <f>MOD(J185*(Gx-B186)-Gy,prime)</f>
        <v/>
      </c>
      <c r="D186">
        <f>MOD(C186*C186,prime)</f>
        <v/>
      </c>
      <c r="E186">
        <f>MOD(B186^3+a*B186+b,prime)</f>
        <v/>
      </c>
      <c r="G186">
        <f>MOD(Gy-C186,prime)</f>
        <v/>
      </c>
      <c r="H186">
        <f>MOD(Gx-B186,prime)</f>
        <v/>
      </c>
      <c r="I186">
        <f>IF(SUMPRODUCT((MOD(MOD(H186,prime)*ROW($A$1:$A$313),prime)=1)*(ROW($A$1:$A$313)&lt;prime)*ROW($A$1:$A$313))=0,NA(),SUMPRODUCT((MOD(MOD(H186,prime)*ROW($A$1:$A$313),prime)=1)*(ROW($A$1:$A$313)&lt;prime)*ROW($A$1:$A$313)))</f>
        <v/>
      </c>
      <c r="J186">
        <f>MOD(G186*I186,prime)</f>
        <v/>
      </c>
    </row>
    <row r="187">
      <c r="A187" t="n">
        <v>182</v>
      </c>
      <c r="B187">
        <f>MOD(J186*J186-B186-Gx,prime)</f>
        <v/>
      </c>
      <c r="C187">
        <f>MOD(J186*(Gx-B187)-Gy,prime)</f>
        <v/>
      </c>
      <c r="D187">
        <f>MOD(C187*C187,prime)</f>
        <v/>
      </c>
      <c r="E187">
        <f>MOD(B187^3+a*B187+b,prime)</f>
        <v/>
      </c>
      <c r="G187">
        <f>MOD(Gy-C187,prime)</f>
        <v/>
      </c>
      <c r="H187">
        <f>MOD(Gx-B187,prime)</f>
        <v/>
      </c>
      <c r="I187">
        <f>IF(SUMPRODUCT((MOD(MOD(H187,prime)*ROW($A$1:$A$313),prime)=1)*(ROW($A$1:$A$313)&lt;prime)*ROW($A$1:$A$313))=0,NA(),SUMPRODUCT((MOD(MOD(H187,prime)*ROW($A$1:$A$313),prime)=1)*(ROW($A$1:$A$313)&lt;prime)*ROW($A$1:$A$313)))</f>
        <v/>
      </c>
      <c r="J187">
        <f>MOD(G187*I187,prime)</f>
        <v/>
      </c>
    </row>
    <row r="188">
      <c r="A188" t="n">
        <v>183</v>
      </c>
      <c r="B188">
        <f>MOD(J187*J187-B187-Gx,prime)</f>
        <v/>
      </c>
      <c r="C188">
        <f>MOD(J187*(Gx-B188)-Gy,prime)</f>
        <v/>
      </c>
      <c r="D188">
        <f>MOD(C188*C188,prime)</f>
        <v/>
      </c>
      <c r="E188">
        <f>MOD(B188^3+a*B188+b,prime)</f>
        <v/>
      </c>
      <c r="G188">
        <f>MOD(Gy-C188,prime)</f>
        <v/>
      </c>
      <c r="H188">
        <f>MOD(Gx-B188,prime)</f>
        <v/>
      </c>
      <c r="I188">
        <f>IF(SUMPRODUCT((MOD(MOD(H188,prime)*ROW($A$1:$A$313),prime)=1)*(ROW($A$1:$A$313)&lt;prime)*ROW($A$1:$A$313))=0,NA(),SUMPRODUCT((MOD(MOD(H188,prime)*ROW($A$1:$A$313),prime)=1)*(ROW($A$1:$A$313)&lt;prime)*ROW($A$1:$A$313)))</f>
        <v/>
      </c>
      <c r="J188">
        <f>MOD(G188*I188,prime)</f>
        <v/>
      </c>
    </row>
    <row r="189">
      <c r="A189" t="n">
        <v>184</v>
      </c>
      <c r="B189">
        <f>MOD(J188*J188-B188-Gx,prime)</f>
        <v/>
      </c>
      <c r="C189">
        <f>MOD(J188*(Gx-B189)-Gy,prime)</f>
        <v/>
      </c>
      <c r="D189">
        <f>MOD(C189*C189,prime)</f>
        <v/>
      </c>
      <c r="E189">
        <f>MOD(B189^3+a*B189+b,prime)</f>
        <v/>
      </c>
      <c r="G189">
        <f>MOD(Gy-C189,prime)</f>
        <v/>
      </c>
      <c r="H189">
        <f>MOD(Gx-B189,prime)</f>
        <v/>
      </c>
      <c r="I189">
        <f>IF(SUMPRODUCT((MOD(MOD(H189,prime)*ROW($A$1:$A$313),prime)=1)*(ROW($A$1:$A$313)&lt;prime)*ROW($A$1:$A$313))=0,NA(),SUMPRODUCT((MOD(MOD(H189,prime)*ROW($A$1:$A$313),prime)=1)*(ROW($A$1:$A$313)&lt;prime)*ROW($A$1:$A$313)))</f>
        <v/>
      </c>
      <c r="J189">
        <f>MOD(G189*I189,prime)</f>
        <v/>
      </c>
    </row>
    <row r="190">
      <c r="A190" t="n">
        <v>185</v>
      </c>
      <c r="B190">
        <f>MOD(J189*J189-B189-Gx,prime)</f>
        <v/>
      </c>
      <c r="C190">
        <f>MOD(J189*(Gx-B190)-Gy,prime)</f>
        <v/>
      </c>
      <c r="D190">
        <f>MOD(C190*C190,prime)</f>
        <v/>
      </c>
      <c r="E190">
        <f>MOD(B190^3+a*B190+b,prime)</f>
        <v/>
      </c>
      <c r="G190">
        <f>MOD(Gy-C190,prime)</f>
        <v/>
      </c>
      <c r="H190">
        <f>MOD(Gx-B190,prime)</f>
        <v/>
      </c>
      <c r="I190">
        <f>IF(SUMPRODUCT((MOD(MOD(H190,prime)*ROW($A$1:$A$313),prime)=1)*(ROW($A$1:$A$313)&lt;prime)*ROW($A$1:$A$313))=0,NA(),SUMPRODUCT((MOD(MOD(H190,prime)*ROW($A$1:$A$313),prime)=1)*(ROW($A$1:$A$313)&lt;prime)*ROW($A$1:$A$313)))</f>
        <v/>
      </c>
      <c r="J190">
        <f>MOD(G190*I190,prime)</f>
        <v/>
      </c>
    </row>
    <row r="191">
      <c r="A191" t="n">
        <v>186</v>
      </c>
      <c r="B191">
        <f>MOD(J190*J190-B190-Gx,prime)</f>
        <v/>
      </c>
      <c r="C191">
        <f>MOD(J190*(Gx-B191)-Gy,prime)</f>
        <v/>
      </c>
      <c r="D191">
        <f>MOD(C191*C191,prime)</f>
        <v/>
      </c>
      <c r="E191">
        <f>MOD(B191^3+a*B191+b,prime)</f>
        <v/>
      </c>
      <c r="G191">
        <f>MOD(Gy-C191,prime)</f>
        <v/>
      </c>
      <c r="H191">
        <f>MOD(Gx-B191,prime)</f>
        <v/>
      </c>
      <c r="I191">
        <f>IF(SUMPRODUCT((MOD(MOD(H191,prime)*ROW($A$1:$A$313),prime)=1)*(ROW($A$1:$A$313)&lt;prime)*ROW($A$1:$A$313))=0,NA(),SUMPRODUCT((MOD(MOD(H191,prime)*ROW($A$1:$A$313),prime)=1)*(ROW($A$1:$A$313)&lt;prime)*ROW($A$1:$A$313)))</f>
        <v/>
      </c>
      <c r="J191">
        <f>MOD(G191*I191,prime)</f>
        <v/>
      </c>
    </row>
    <row r="192">
      <c r="A192" t="n">
        <v>187</v>
      </c>
      <c r="B192">
        <f>MOD(J191*J191-B191-Gx,prime)</f>
        <v/>
      </c>
      <c r="C192">
        <f>MOD(J191*(Gx-B192)-Gy,prime)</f>
        <v/>
      </c>
      <c r="D192">
        <f>MOD(C192*C192,prime)</f>
        <v/>
      </c>
      <c r="E192">
        <f>MOD(B192^3+a*B192+b,prime)</f>
        <v/>
      </c>
      <c r="G192">
        <f>MOD(Gy-C192,prime)</f>
        <v/>
      </c>
      <c r="H192">
        <f>MOD(Gx-B192,prime)</f>
        <v/>
      </c>
      <c r="I192">
        <f>IF(SUMPRODUCT((MOD(MOD(H192,prime)*ROW($A$1:$A$313),prime)=1)*(ROW($A$1:$A$313)&lt;prime)*ROW($A$1:$A$313))=0,NA(),SUMPRODUCT((MOD(MOD(H192,prime)*ROW($A$1:$A$313),prime)=1)*(ROW($A$1:$A$313)&lt;prime)*ROW($A$1:$A$313)))</f>
        <v/>
      </c>
      <c r="J192">
        <f>MOD(G192*I192,prime)</f>
        <v/>
      </c>
    </row>
    <row r="193">
      <c r="A193" t="n">
        <v>188</v>
      </c>
      <c r="B193">
        <f>MOD(J192*J192-B192-Gx,prime)</f>
        <v/>
      </c>
      <c r="C193">
        <f>MOD(J192*(Gx-B193)-Gy,prime)</f>
        <v/>
      </c>
      <c r="D193">
        <f>MOD(C193*C193,prime)</f>
        <v/>
      </c>
      <c r="E193">
        <f>MOD(B193^3+a*B193+b,prime)</f>
        <v/>
      </c>
      <c r="G193">
        <f>MOD(Gy-C193,prime)</f>
        <v/>
      </c>
      <c r="H193">
        <f>MOD(Gx-B193,prime)</f>
        <v/>
      </c>
      <c r="I193">
        <f>IF(SUMPRODUCT((MOD(MOD(H193,prime)*ROW($A$1:$A$313),prime)=1)*(ROW($A$1:$A$313)&lt;prime)*ROW($A$1:$A$313))=0,NA(),SUMPRODUCT((MOD(MOD(H193,prime)*ROW($A$1:$A$313),prime)=1)*(ROW($A$1:$A$313)&lt;prime)*ROW($A$1:$A$313)))</f>
        <v/>
      </c>
      <c r="J193">
        <f>MOD(G193*I193,prime)</f>
        <v/>
      </c>
    </row>
    <row r="194">
      <c r="A194" t="n">
        <v>189</v>
      </c>
      <c r="B194">
        <f>MOD(J193*J193-B193-Gx,prime)</f>
        <v/>
      </c>
      <c r="C194">
        <f>MOD(J193*(Gx-B194)-Gy,prime)</f>
        <v/>
      </c>
      <c r="D194">
        <f>MOD(C194*C194,prime)</f>
        <v/>
      </c>
      <c r="E194">
        <f>MOD(B194^3+a*B194+b,prime)</f>
        <v/>
      </c>
      <c r="G194">
        <f>MOD(Gy-C194,prime)</f>
        <v/>
      </c>
      <c r="H194">
        <f>MOD(Gx-B194,prime)</f>
        <v/>
      </c>
      <c r="I194">
        <f>IF(SUMPRODUCT((MOD(MOD(H194,prime)*ROW($A$1:$A$313),prime)=1)*(ROW($A$1:$A$313)&lt;prime)*ROW($A$1:$A$313))=0,NA(),SUMPRODUCT((MOD(MOD(H194,prime)*ROW($A$1:$A$313),prime)=1)*(ROW($A$1:$A$313)&lt;prime)*ROW($A$1:$A$313)))</f>
        <v/>
      </c>
      <c r="J194">
        <f>MOD(G194*I194,prime)</f>
        <v/>
      </c>
    </row>
    <row r="195">
      <c r="A195" t="n">
        <v>190</v>
      </c>
      <c r="B195">
        <f>MOD(J194*J194-B194-Gx,prime)</f>
        <v/>
      </c>
      <c r="C195">
        <f>MOD(J194*(Gx-B195)-Gy,prime)</f>
        <v/>
      </c>
      <c r="D195">
        <f>MOD(C195*C195,prime)</f>
        <v/>
      </c>
      <c r="E195">
        <f>MOD(B195^3+a*B195+b,prime)</f>
        <v/>
      </c>
      <c r="G195">
        <f>MOD(Gy-C195,prime)</f>
        <v/>
      </c>
      <c r="H195">
        <f>MOD(Gx-B195,prime)</f>
        <v/>
      </c>
      <c r="I195">
        <f>IF(SUMPRODUCT((MOD(MOD(H195,prime)*ROW($A$1:$A$313),prime)=1)*(ROW($A$1:$A$313)&lt;prime)*ROW($A$1:$A$313))=0,NA(),SUMPRODUCT((MOD(MOD(H195,prime)*ROW($A$1:$A$313),prime)=1)*(ROW($A$1:$A$313)&lt;prime)*ROW($A$1:$A$313)))</f>
        <v/>
      </c>
      <c r="J195">
        <f>MOD(G195*I195,prime)</f>
        <v/>
      </c>
    </row>
    <row r="196">
      <c r="A196" t="n">
        <v>191</v>
      </c>
      <c r="B196">
        <f>MOD(J195*J195-B195-Gx,prime)</f>
        <v/>
      </c>
      <c r="C196">
        <f>MOD(J195*(Gx-B196)-Gy,prime)</f>
        <v/>
      </c>
      <c r="D196">
        <f>MOD(C196*C196,prime)</f>
        <v/>
      </c>
      <c r="E196">
        <f>MOD(B196^3+a*B196+b,prime)</f>
        <v/>
      </c>
      <c r="G196">
        <f>MOD(Gy-C196,prime)</f>
        <v/>
      </c>
      <c r="H196">
        <f>MOD(Gx-B196,prime)</f>
        <v/>
      </c>
      <c r="I196">
        <f>IF(SUMPRODUCT((MOD(MOD(H196,prime)*ROW($A$1:$A$313),prime)=1)*(ROW($A$1:$A$313)&lt;prime)*ROW($A$1:$A$313))=0,NA(),SUMPRODUCT((MOD(MOD(H196,prime)*ROW($A$1:$A$313),prime)=1)*(ROW($A$1:$A$313)&lt;prime)*ROW($A$1:$A$313)))</f>
        <v/>
      </c>
      <c r="J196">
        <f>MOD(G196*I196,prime)</f>
        <v/>
      </c>
    </row>
    <row r="197">
      <c r="A197" t="n">
        <v>192</v>
      </c>
      <c r="B197">
        <f>MOD(J196*J196-B196-Gx,prime)</f>
        <v/>
      </c>
      <c r="C197">
        <f>MOD(J196*(Gx-B197)-Gy,prime)</f>
        <v/>
      </c>
      <c r="D197">
        <f>MOD(C197*C197,prime)</f>
        <v/>
      </c>
      <c r="E197">
        <f>MOD(B197^3+a*B197+b,prime)</f>
        <v/>
      </c>
      <c r="G197">
        <f>MOD(Gy-C197,prime)</f>
        <v/>
      </c>
      <c r="H197">
        <f>MOD(Gx-B197,prime)</f>
        <v/>
      </c>
      <c r="I197">
        <f>IF(SUMPRODUCT((MOD(MOD(H197,prime)*ROW($A$1:$A$313),prime)=1)*(ROW($A$1:$A$313)&lt;prime)*ROW($A$1:$A$313))=0,NA(),SUMPRODUCT((MOD(MOD(H197,prime)*ROW($A$1:$A$313),prime)=1)*(ROW($A$1:$A$313)&lt;prime)*ROW($A$1:$A$313)))</f>
        <v/>
      </c>
      <c r="J197">
        <f>MOD(G197*I197,prime)</f>
        <v/>
      </c>
    </row>
    <row r="198">
      <c r="A198" t="n">
        <v>193</v>
      </c>
      <c r="B198">
        <f>MOD(J197*J197-B197-Gx,prime)</f>
        <v/>
      </c>
      <c r="C198">
        <f>MOD(J197*(Gx-B198)-Gy,prime)</f>
        <v/>
      </c>
      <c r="D198">
        <f>MOD(C198*C198,prime)</f>
        <v/>
      </c>
      <c r="E198">
        <f>MOD(B198^3+a*B198+b,prime)</f>
        <v/>
      </c>
      <c r="G198">
        <f>MOD(Gy-C198,prime)</f>
        <v/>
      </c>
      <c r="H198">
        <f>MOD(Gx-B198,prime)</f>
        <v/>
      </c>
      <c r="I198">
        <f>IF(SUMPRODUCT((MOD(MOD(H198,prime)*ROW($A$1:$A$313),prime)=1)*(ROW($A$1:$A$313)&lt;prime)*ROW($A$1:$A$313))=0,NA(),SUMPRODUCT((MOD(MOD(H198,prime)*ROW($A$1:$A$313),prime)=1)*(ROW($A$1:$A$313)&lt;prime)*ROW($A$1:$A$313)))</f>
        <v/>
      </c>
      <c r="J198">
        <f>MOD(G198*I198,prime)</f>
        <v/>
      </c>
    </row>
    <row r="199">
      <c r="A199" t="n">
        <v>194</v>
      </c>
      <c r="B199">
        <f>MOD(J198*J198-B198-Gx,prime)</f>
        <v/>
      </c>
      <c r="C199">
        <f>MOD(J198*(Gx-B199)-Gy,prime)</f>
        <v/>
      </c>
      <c r="D199">
        <f>MOD(C199*C199,prime)</f>
        <v/>
      </c>
      <c r="E199">
        <f>MOD(B199^3+a*B199+b,prime)</f>
        <v/>
      </c>
      <c r="G199">
        <f>MOD(Gy-C199,prime)</f>
        <v/>
      </c>
      <c r="H199">
        <f>MOD(Gx-B199,prime)</f>
        <v/>
      </c>
      <c r="I199">
        <f>IF(SUMPRODUCT((MOD(MOD(H199,prime)*ROW($A$1:$A$313),prime)=1)*(ROW($A$1:$A$313)&lt;prime)*ROW($A$1:$A$313))=0,NA(),SUMPRODUCT((MOD(MOD(H199,prime)*ROW($A$1:$A$313),prime)=1)*(ROW($A$1:$A$313)&lt;prime)*ROW($A$1:$A$313)))</f>
        <v/>
      </c>
      <c r="J199">
        <f>MOD(G199*I199,prime)</f>
        <v/>
      </c>
    </row>
    <row r="200">
      <c r="A200" t="n">
        <v>195</v>
      </c>
      <c r="B200">
        <f>MOD(J199*J199-B199-Gx,prime)</f>
        <v/>
      </c>
      <c r="C200">
        <f>MOD(J199*(Gx-B200)-Gy,prime)</f>
        <v/>
      </c>
      <c r="D200">
        <f>MOD(C200*C200,prime)</f>
        <v/>
      </c>
      <c r="E200">
        <f>MOD(B200^3+a*B200+b,prime)</f>
        <v/>
      </c>
      <c r="G200">
        <f>MOD(Gy-C200,prime)</f>
        <v/>
      </c>
      <c r="H200">
        <f>MOD(Gx-B200,prime)</f>
        <v/>
      </c>
      <c r="I200">
        <f>IF(SUMPRODUCT((MOD(MOD(H200,prime)*ROW($A$1:$A$313),prime)=1)*(ROW($A$1:$A$313)&lt;prime)*ROW($A$1:$A$313))=0,NA(),SUMPRODUCT((MOD(MOD(H200,prime)*ROW($A$1:$A$313),prime)=1)*(ROW($A$1:$A$313)&lt;prime)*ROW($A$1:$A$313)))</f>
        <v/>
      </c>
      <c r="J200">
        <f>MOD(G200*I200,prime)</f>
        <v/>
      </c>
    </row>
    <row r="201">
      <c r="A201" t="n">
        <v>196</v>
      </c>
      <c r="B201">
        <f>MOD(J200*J200-B200-Gx,prime)</f>
        <v/>
      </c>
      <c r="C201">
        <f>MOD(J200*(Gx-B201)-Gy,prime)</f>
        <v/>
      </c>
      <c r="D201">
        <f>MOD(C201*C201,prime)</f>
        <v/>
      </c>
      <c r="E201">
        <f>MOD(B201^3+a*B201+b,prime)</f>
        <v/>
      </c>
      <c r="G201">
        <f>MOD(Gy-C201,prime)</f>
        <v/>
      </c>
      <c r="H201">
        <f>MOD(Gx-B201,prime)</f>
        <v/>
      </c>
      <c r="I201">
        <f>IF(SUMPRODUCT((MOD(MOD(H201,prime)*ROW($A$1:$A$313),prime)=1)*(ROW($A$1:$A$313)&lt;prime)*ROW($A$1:$A$313))=0,NA(),SUMPRODUCT((MOD(MOD(H201,prime)*ROW($A$1:$A$313),prime)=1)*(ROW($A$1:$A$313)&lt;prime)*ROW($A$1:$A$313)))</f>
        <v/>
      </c>
      <c r="J201">
        <f>MOD(G201*I201,prime)</f>
        <v/>
      </c>
    </row>
    <row r="202">
      <c r="A202" t="n">
        <v>197</v>
      </c>
      <c r="B202">
        <f>MOD(J201*J201-B201-Gx,prime)</f>
        <v/>
      </c>
      <c r="C202">
        <f>MOD(J201*(Gx-B202)-Gy,prime)</f>
        <v/>
      </c>
      <c r="D202">
        <f>MOD(C202*C202,prime)</f>
        <v/>
      </c>
      <c r="E202">
        <f>MOD(B202^3+a*B202+b,prime)</f>
        <v/>
      </c>
      <c r="G202">
        <f>MOD(Gy-C202,prime)</f>
        <v/>
      </c>
      <c r="H202">
        <f>MOD(Gx-B202,prime)</f>
        <v/>
      </c>
      <c r="I202">
        <f>IF(SUMPRODUCT((MOD(MOD(H202,prime)*ROW($A$1:$A$313),prime)=1)*(ROW($A$1:$A$313)&lt;prime)*ROW($A$1:$A$313))=0,NA(),SUMPRODUCT((MOD(MOD(H202,prime)*ROW($A$1:$A$313),prime)=1)*(ROW($A$1:$A$313)&lt;prime)*ROW($A$1:$A$313)))</f>
        <v/>
      </c>
      <c r="J202">
        <f>MOD(G202*I202,prime)</f>
        <v/>
      </c>
    </row>
    <row r="203">
      <c r="A203" t="n">
        <v>198</v>
      </c>
      <c r="B203">
        <f>MOD(J202*J202-B202-Gx,prime)</f>
        <v/>
      </c>
      <c r="C203">
        <f>MOD(J202*(Gx-B203)-Gy,prime)</f>
        <v/>
      </c>
      <c r="D203">
        <f>MOD(C203*C203,prime)</f>
        <v/>
      </c>
      <c r="E203">
        <f>MOD(B203^3+a*B203+b,prime)</f>
        <v/>
      </c>
      <c r="G203">
        <f>MOD(Gy-C203,prime)</f>
        <v/>
      </c>
      <c r="H203">
        <f>MOD(Gx-B203,prime)</f>
        <v/>
      </c>
      <c r="I203">
        <f>IF(SUMPRODUCT((MOD(MOD(H203,prime)*ROW($A$1:$A$313),prime)=1)*(ROW($A$1:$A$313)&lt;prime)*ROW($A$1:$A$313))=0,NA(),SUMPRODUCT((MOD(MOD(H203,prime)*ROW($A$1:$A$313),prime)=1)*(ROW($A$1:$A$313)&lt;prime)*ROW($A$1:$A$313)))</f>
        <v/>
      </c>
      <c r="J203">
        <f>MOD(G203*I203,prime)</f>
        <v/>
      </c>
    </row>
    <row r="204">
      <c r="A204" t="n">
        <v>199</v>
      </c>
      <c r="B204">
        <f>MOD(J203*J203-B203-Gx,prime)</f>
        <v/>
      </c>
      <c r="C204">
        <f>MOD(J203*(Gx-B204)-Gy,prime)</f>
        <v/>
      </c>
      <c r="D204">
        <f>MOD(C204*C204,prime)</f>
        <v/>
      </c>
      <c r="E204">
        <f>MOD(B204^3+a*B204+b,prime)</f>
        <v/>
      </c>
      <c r="G204">
        <f>MOD(Gy-C204,prime)</f>
        <v/>
      </c>
      <c r="H204">
        <f>MOD(Gx-B204,prime)</f>
        <v/>
      </c>
      <c r="I204">
        <f>IF(SUMPRODUCT((MOD(MOD(H204,prime)*ROW($A$1:$A$313),prime)=1)*(ROW($A$1:$A$313)&lt;prime)*ROW($A$1:$A$313))=0,NA(),SUMPRODUCT((MOD(MOD(H204,prime)*ROW($A$1:$A$313),prime)=1)*(ROW($A$1:$A$313)&lt;prime)*ROW($A$1:$A$313)))</f>
        <v/>
      </c>
      <c r="J204">
        <f>MOD(G204*I204,prime)</f>
        <v/>
      </c>
    </row>
    <row r="205">
      <c r="A205" t="n">
        <v>200</v>
      </c>
      <c r="B205">
        <f>MOD(J204*J204-B204-Gx,prime)</f>
        <v/>
      </c>
      <c r="C205">
        <f>MOD(J204*(Gx-B205)-Gy,prime)</f>
        <v/>
      </c>
      <c r="D205">
        <f>MOD(C205*C205,prime)</f>
        <v/>
      </c>
      <c r="E205">
        <f>MOD(B205^3+a*B205+b,prime)</f>
        <v/>
      </c>
      <c r="G205">
        <f>MOD(Gy-C205,prime)</f>
        <v/>
      </c>
      <c r="H205">
        <f>MOD(Gx-B205,prime)</f>
        <v/>
      </c>
      <c r="I205">
        <f>IF(SUMPRODUCT((MOD(MOD(H205,prime)*ROW($A$1:$A$313),prime)=1)*(ROW($A$1:$A$313)&lt;prime)*ROW($A$1:$A$313))=0,NA(),SUMPRODUCT((MOD(MOD(H205,prime)*ROW($A$1:$A$313),prime)=1)*(ROW($A$1:$A$313)&lt;prime)*ROW($A$1:$A$313)))</f>
        <v/>
      </c>
      <c r="J205">
        <f>MOD(G205*I205,prime)</f>
        <v/>
      </c>
    </row>
    <row r="206">
      <c r="A206" t="n">
        <v>201</v>
      </c>
      <c r="B206">
        <f>MOD(J205*J205-B205-Gx,prime)</f>
        <v/>
      </c>
      <c r="C206">
        <f>MOD(J205*(Gx-B206)-Gy,prime)</f>
        <v/>
      </c>
      <c r="D206">
        <f>MOD(C206*C206,prime)</f>
        <v/>
      </c>
      <c r="E206">
        <f>MOD(B206^3+a*B206+b,prime)</f>
        <v/>
      </c>
      <c r="G206">
        <f>MOD(Gy-C206,prime)</f>
        <v/>
      </c>
      <c r="H206">
        <f>MOD(Gx-B206,prime)</f>
        <v/>
      </c>
      <c r="I206">
        <f>IF(SUMPRODUCT((MOD(MOD(H206,prime)*ROW($A$1:$A$313),prime)=1)*(ROW($A$1:$A$313)&lt;prime)*ROW($A$1:$A$313))=0,NA(),SUMPRODUCT((MOD(MOD(H206,prime)*ROW($A$1:$A$313),prime)=1)*(ROW($A$1:$A$313)&lt;prime)*ROW($A$1:$A$313)))</f>
        <v/>
      </c>
      <c r="J206">
        <f>MOD(G206*I206,prime)</f>
        <v/>
      </c>
    </row>
    <row r="207">
      <c r="A207" t="n">
        <v>202</v>
      </c>
      <c r="B207">
        <f>MOD(J206*J206-B206-Gx,prime)</f>
        <v/>
      </c>
      <c r="C207">
        <f>MOD(J206*(Gx-B207)-Gy,prime)</f>
        <v/>
      </c>
      <c r="D207">
        <f>MOD(C207*C207,prime)</f>
        <v/>
      </c>
      <c r="E207">
        <f>MOD(B207^3+a*B207+b,prime)</f>
        <v/>
      </c>
      <c r="G207">
        <f>MOD(Gy-C207,prime)</f>
        <v/>
      </c>
      <c r="H207">
        <f>MOD(Gx-B207,prime)</f>
        <v/>
      </c>
      <c r="I207">
        <f>IF(SUMPRODUCT((MOD(MOD(H207,prime)*ROW($A$1:$A$313),prime)=1)*(ROW($A$1:$A$313)&lt;prime)*ROW($A$1:$A$313))=0,NA(),SUMPRODUCT((MOD(MOD(H207,prime)*ROW($A$1:$A$313),prime)=1)*(ROW($A$1:$A$313)&lt;prime)*ROW($A$1:$A$313)))</f>
        <v/>
      </c>
      <c r="J207">
        <f>MOD(G207*I207,prime)</f>
        <v/>
      </c>
    </row>
    <row r="208">
      <c r="A208" t="n">
        <v>203</v>
      </c>
      <c r="B208">
        <f>MOD(J207*J207-B207-Gx,prime)</f>
        <v/>
      </c>
      <c r="C208">
        <f>MOD(J207*(Gx-B208)-Gy,prime)</f>
        <v/>
      </c>
      <c r="D208">
        <f>MOD(C208*C208,prime)</f>
        <v/>
      </c>
      <c r="E208">
        <f>MOD(B208^3+a*B208+b,prime)</f>
        <v/>
      </c>
      <c r="G208">
        <f>MOD(Gy-C208,prime)</f>
        <v/>
      </c>
      <c r="H208">
        <f>MOD(Gx-B208,prime)</f>
        <v/>
      </c>
      <c r="I208">
        <f>IF(SUMPRODUCT((MOD(MOD(H208,prime)*ROW($A$1:$A$313),prime)=1)*(ROW($A$1:$A$313)&lt;prime)*ROW($A$1:$A$313))=0,NA(),SUMPRODUCT((MOD(MOD(H208,prime)*ROW($A$1:$A$313),prime)=1)*(ROW($A$1:$A$313)&lt;prime)*ROW($A$1:$A$313)))</f>
        <v/>
      </c>
      <c r="J208">
        <f>MOD(G208*I208,prime)</f>
        <v/>
      </c>
    </row>
    <row r="209">
      <c r="A209" t="n">
        <v>204</v>
      </c>
      <c r="B209">
        <f>MOD(J208*J208-B208-Gx,prime)</f>
        <v/>
      </c>
      <c r="C209">
        <f>MOD(J208*(Gx-B209)-Gy,prime)</f>
        <v/>
      </c>
      <c r="D209">
        <f>MOD(C209*C209,prime)</f>
        <v/>
      </c>
      <c r="E209">
        <f>MOD(B209^3+a*B209+b,prime)</f>
        <v/>
      </c>
      <c r="G209">
        <f>MOD(Gy-C209,prime)</f>
        <v/>
      </c>
      <c r="H209">
        <f>MOD(Gx-B209,prime)</f>
        <v/>
      </c>
      <c r="I209">
        <f>IF(SUMPRODUCT((MOD(MOD(H209,prime)*ROW($A$1:$A$313),prime)=1)*(ROW($A$1:$A$313)&lt;prime)*ROW($A$1:$A$313))=0,NA(),SUMPRODUCT((MOD(MOD(H209,prime)*ROW($A$1:$A$313),prime)=1)*(ROW($A$1:$A$313)&lt;prime)*ROW($A$1:$A$313)))</f>
        <v/>
      </c>
      <c r="J209">
        <f>MOD(G209*I209,prime)</f>
        <v/>
      </c>
    </row>
    <row r="210">
      <c r="A210" t="n">
        <v>205</v>
      </c>
      <c r="B210">
        <f>MOD(J209*J209-B209-Gx,prime)</f>
        <v/>
      </c>
      <c r="C210">
        <f>MOD(J209*(Gx-B210)-Gy,prime)</f>
        <v/>
      </c>
      <c r="D210">
        <f>MOD(C210*C210,prime)</f>
        <v/>
      </c>
      <c r="E210">
        <f>MOD(B210^3+a*B210+b,prime)</f>
        <v/>
      </c>
      <c r="G210">
        <f>MOD(Gy-C210,prime)</f>
        <v/>
      </c>
      <c r="H210">
        <f>MOD(Gx-B210,prime)</f>
        <v/>
      </c>
      <c r="I210">
        <f>IF(SUMPRODUCT((MOD(MOD(H210,prime)*ROW($A$1:$A$313),prime)=1)*(ROW($A$1:$A$313)&lt;prime)*ROW($A$1:$A$313))=0,NA(),SUMPRODUCT((MOD(MOD(H210,prime)*ROW($A$1:$A$313),prime)=1)*(ROW($A$1:$A$313)&lt;prime)*ROW($A$1:$A$313)))</f>
        <v/>
      </c>
      <c r="J210">
        <f>MOD(G210*I210,prime)</f>
        <v/>
      </c>
    </row>
    <row r="211">
      <c r="A211" t="n">
        <v>206</v>
      </c>
      <c r="B211">
        <f>MOD(J210*J210-B210-Gx,prime)</f>
        <v/>
      </c>
      <c r="C211">
        <f>MOD(J210*(Gx-B211)-Gy,prime)</f>
        <v/>
      </c>
      <c r="D211">
        <f>MOD(C211*C211,prime)</f>
        <v/>
      </c>
      <c r="E211">
        <f>MOD(B211^3+a*B211+b,prime)</f>
        <v/>
      </c>
      <c r="G211">
        <f>MOD(Gy-C211,prime)</f>
        <v/>
      </c>
      <c r="H211">
        <f>MOD(Gx-B211,prime)</f>
        <v/>
      </c>
      <c r="I211">
        <f>IF(SUMPRODUCT((MOD(MOD(H211,prime)*ROW($A$1:$A$313),prime)=1)*(ROW($A$1:$A$313)&lt;prime)*ROW($A$1:$A$313))=0,NA(),SUMPRODUCT((MOD(MOD(H211,prime)*ROW($A$1:$A$313),prime)=1)*(ROW($A$1:$A$313)&lt;prime)*ROW($A$1:$A$313)))</f>
        <v/>
      </c>
      <c r="J211">
        <f>MOD(G211*I211,prime)</f>
        <v/>
      </c>
    </row>
    <row r="212">
      <c r="A212" t="n">
        <v>207</v>
      </c>
      <c r="B212">
        <f>MOD(J211*J211-B211-Gx,prime)</f>
        <v/>
      </c>
      <c r="C212">
        <f>MOD(J211*(Gx-B212)-Gy,prime)</f>
        <v/>
      </c>
      <c r="D212">
        <f>MOD(C212*C212,prime)</f>
        <v/>
      </c>
      <c r="E212">
        <f>MOD(B212^3+a*B212+b,prime)</f>
        <v/>
      </c>
      <c r="G212">
        <f>MOD(Gy-C212,prime)</f>
        <v/>
      </c>
      <c r="H212">
        <f>MOD(Gx-B212,prime)</f>
        <v/>
      </c>
      <c r="I212">
        <f>IF(SUMPRODUCT((MOD(MOD(H212,prime)*ROW($A$1:$A$313),prime)=1)*(ROW($A$1:$A$313)&lt;prime)*ROW($A$1:$A$313))=0,NA(),SUMPRODUCT((MOD(MOD(H212,prime)*ROW($A$1:$A$313),prime)=1)*(ROW($A$1:$A$313)&lt;prime)*ROW($A$1:$A$313)))</f>
        <v/>
      </c>
      <c r="J212">
        <f>MOD(G212*I212,prime)</f>
        <v/>
      </c>
    </row>
    <row r="213">
      <c r="A213" t="n">
        <v>208</v>
      </c>
      <c r="B213">
        <f>MOD(J212*J212-B212-Gx,prime)</f>
        <v/>
      </c>
      <c r="C213">
        <f>MOD(J212*(Gx-B213)-Gy,prime)</f>
        <v/>
      </c>
      <c r="D213">
        <f>MOD(C213*C213,prime)</f>
        <v/>
      </c>
      <c r="E213">
        <f>MOD(B213^3+a*B213+b,prime)</f>
        <v/>
      </c>
      <c r="G213">
        <f>MOD(Gy-C213,prime)</f>
        <v/>
      </c>
      <c r="H213">
        <f>MOD(Gx-B213,prime)</f>
        <v/>
      </c>
      <c r="I213">
        <f>IF(SUMPRODUCT((MOD(MOD(H213,prime)*ROW($A$1:$A$313),prime)=1)*(ROW($A$1:$A$313)&lt;prime)*ROW($A$1:$A$313))=0,NA(),SUMPRODUCT((MOD(MOD(H213,prime)*ROW($A$1:$A$313),prime)=1)*(ROW($A$1:$A$313)&lt;prime)*ROW($A$1:$A$313)))</f>
        <v/>
      </c>
      <c r="J213">
        <f>MOD(G213*I213,prime)</f>
        <v/>
      </c>
    </row>
    <row r="214">
      <c r="A214" t="n">
        <v>209</v>
      </c>
      <c r="B214">
        <f>MOD(J213*J213-B213-Gx,prime)</f>
        <v/>
      </c>
      <c r="C214">
        <f>MOD(J213*(Gx-B214)-Gy,prime)</f>
        <v/>
      </c>
      <c r="D214">
        <f>MOD(C214*C214,prime)</f>
        <v/>
      </c>
      <c r="E214">
        <f>MOD(B214^3+a*B214+b,prime)</f>
        <v/>
      </c>
      <c r="G214">
        <f>MOD(Gy-C214,prime)</f>
        <v/>
      </c>
      <c r="H214">
        <f>MOD(Gx-B214,prime)</f>
        <v/>
      </c>
      <c r="I214">
        <f>IF(SUMPRODUCT((MOD(MOD(H214,prime)*ROW($A$1:$A$313),prime)=1)*(ROW($A$1:$A$313)&lt;prime)*ROW($A$1:$A$313))=0,NA(),SUMPRODUCT((MOD(MOD(H214,prime)*ROW($A$1:$A$313),prime)=1)*(ROW($A$1:$A$313)&lt;prime)*ROW($A$1:$A$313)))</f>
        <v/>
      </c>
      <c r="J214">
        <f>MOD(G214*I214,prime)</f>
        <v/>
      </c>
    </row>
    <row r="215">
      <c r="A215" t="n">
        <v>210</v>
      </c>
      <c r="B215">
        <f>MOD(J214*J214-B214-Gx,prime)</f>
        <v/>
      </c>
      <c r="C215">
        <f>MOD(J214*(Gx-B215)-Gy,prime)</f>
        <v/>
      </c>
      <c r="D215">
        <f>MOD(C215*C215,prime)</f>
        <v/>
      </c>
      <c r="E215">
        <f>MOD(B215^3+a*B215+b,prime)</f>
        <v/>
      </c>
      <c r="G215">
        <f>MOD(Gy-C215,prime)</f>
        <v/>
      </c>
      <c r="H215">
        <f>MOD(Gx-B215,prime)</f>
        <v/>
      </c>
      <c r="I215">
        <f>IF(SUMPRODUCT((MOD(MOD(H215,prime)*ROW($A$1:$A$313),prime)=1)*(ROW($A$1:$A$313)&lt;prime)*ROW($A$1:$A$313))=0,NA(),SUMPRODUCT((MOD(MOD(H215,prime)*ROW($A$1:$A$313),prime)=1)*(ROW($A$1:$A$313)&lt;prime)*ROW($A$1:$A$313)))</f>
        <v/>
      </c>
      <c r="J215">
        <f>MOD(G215*I215,prime)</f>
        <v/>
      </c>
    </row>
    <row r="216">
      <c r="A216" t="n">
        <v>211</v>
      </c>
      <c r="B216">
        <f>MOD(J215*J215-B215-Gx,prime)</f>
        <v/>
      </c>
      <c r="C216">
        <f>MOD(J215*(Gx-B216)-Gy,prime)</f>
        <v/>
      </c>
      <c r="D216">
        <f>MOD(C216*C216,prime)</f>
        <v/>
      </c>
      <c r="E216">
        <f>MOD(B216^3+a*B216+b,prime)</f>
        <v/>
      </c>
      <c r="G216">
        <f>MOD(Gy-C216,prime)</f>
        <v/>
      </c>
      <c r="H216">
        <f>MOD(Gx-B216,prime)</f>
        <v/>
      </c>
      <c r="I216">
        <f>IF(SUMPRODUCT((MOD(MOD(H216,prime)*ROW($A$1:$A$313),prime)=1)*(ROW($A$1:$A$313)&lt;prime)*ROW($A$1:$A$313))=0,NA(),SUMPRODUCT((MOD(MOD(H216,prime)*ROW($A$1:$A$313),prime)=1)*(ROW($A$1:$A$313)&lt;prime)*ROW($A$1:$A$313)))</f>
        <v/>
      </c>
      <c r="J216">
        <f>MOD(G216*I216,prime)</f>
        <v/>
      </c>
    </row>
    <row r="217">
      <c r="A217" t="n">
        <v>212</v>
      </c>
      <c r="B217">
        <f>MOD(J216*J216-B216-Gx,prime)</f>
        <v/>
      </c>
      <c r="C217">
        <f>MOD(J216*(Gx-B217)-Gy,prime)</f>
        <v/>
      </c>
      <c r="D217">
        <f>MOD(C217*C217,prime)</f>
        <v/>
      </c>
      <c r="E217">
        <f>MOD(B217^3+a*B217+b,prime)</f>
        <v/>
      </c>
      <c r="G217">
        <f>MOD(Gy-C217,prime)</f>
        <v/>
      </c>
      <c r="H217">
        <f>MOD(Gx-B217,prime)</f>
        <v/>
      </c>
      <c r="I217">
        <f>IF(SUMPRODUCT((MOD(MOD(H217,prime)*ROW($A$1:$A$313),prime)=1)*(ROW($A$1:$A$313)&lt;prime)*ROW($A$1:$A$313))=0,NA(),SUMPRODUCT((MOD(MOD(H217,prime)*ROW($A$1:$A$313),prime)=1)*(ROW($A$1:$A$313)&lt;prime)*ROW($A$1:$A$313)))</f>
        <v/>
      </c>
      <c r="J217">
        <f>MOD(G217*I217,prime)</f>
        <v/>
      </c>
    </row>
    <row r="218">
      <c r="A218" t="n">
        <v>213</v>
      </c>
      <c r="B218">
        <f>MOD(J217*J217-B217-Gx,prime)</f>
        <v/>
      </c>
      <c r="C218">
        <f>MOD(J217*(Gx-B218)-Gy,prime)</f>
        <v/>
      </c>
      <c r="D218">
        <f>MOD(C218*C218,prime)</f>
        <v/>
      </c>
      <c r="E218">
        <f>MOD(B218^3+a*B218+b,prime)</f>
        <v/>
      </c>
      <c r="G218">
        <f>MOD(Gy-C218,prime)</f>
        <v/>
      </c>
      <c r="H218">
        <f>MOD(Gx-B218,prime)</f>
        <v/>
      </c>
      <c r="I218">
        <f>IF(SUMPRODUCT((MOD(MOD(H218,prime)*ROW($A$1:$A$313),prime)=1)*(ROW($A$1:$A$313)&lt;prime)*ROW($A$1:$A$313))=0,NA(),SUMPRODUCT((MOD(MOD(H218,prime)*ROW($A$1:$A$313),prime)=1)*(ROW($A$1:$A$313)&lt;prime)*ROW($A$1:$A$313)))</f>
        <v/>
      </c>
      <c r="J218">
        <f>MOD(G218*I218,prime)</f>
        <v/>
      </c>
    </row>
    <row r="219">
      <c r="A219" t="n">
        <v>214</v>
      </c>
      <c r="B219">
        <f>MOD(J218*J218-B218-Gx,prime)</f>
        <v/>
      </c>
      <c r="C219">
        <f>MOD(J218*(Gx-B219)-Gy,prime)</f>
        <v/>
      </c>
      <c r="D219">
        <f>MOD(C219*C219,prime)</f>
        <v/>
      </c>
      <c r="E219">
        <f>MOD(B219^3+a*B219+b,prime)</f>
        <v/>
      </c>
      <c r="G219">
        <f>MOD(Gy-C219,prime)</f>
        <v/>
      </c>
      <c r="H219">
        <f>MOD(Gx-B219,prime)</f>
        <v/>
      </c>
      <c r="I219">
        <f>IF(SUMPRODUCT((MOD(MOD(H219,prime)*ROW($A$1:$A$313),prime)=1)*(ROW($A$1:$A$313)&lt;prime)*ROW($A$1:$A$313))=0,NA(),SUMPRODUCT((MOD(MOD(H219,prime)*ROW($A$1:$A$313),prime)=1)*(ROW($A$1:$A$313)&lt;prime)*ROW($A$1:$A$313)))</f>
        <v/>
      </c>
      <c r="J219">
        <f>MOD(G219*I219,prime)</f>
        <v/>
      </c>
    </row>
    <row r="220">
      <c r="A220" t="n">
        <v>215</v>
      </c>
      <c r="B220">
        <f>MOD(J219*J219-B219-Gx,prime)</f>
        <v/>
      </c>
      <c r="C220">
        <f>MOD(J219*(Gx-B220)-Gy,prime)</f>
        <v/>
      </c>
      <c r="D220">
        <f>MOD(C220*C220,prime)</f>
        <v/>
      </c>
      <c r="E220">
        <f>MOD(B220^3+a*B220+b,prime)</f>
        <v/>
      </c>
      <c r="G220">
        <f>MOD(Gy-C220,prime)</f>
        <v/>
      </c>
      <c r="H220">
        <f>MOD(Gx-B220,prime)</f>
        <v/>
      </c>
      <c r="I220">
        <f>IF(SUMPRODUCT((MOD(MOD(H220,prime)*ROW($A$1:$A$313),prime)=1)*(ROW($A$1:$A$313)&lt;prime)*ROW($A$1:$A$313))=0,NA(),SUMPRODUCT((MOD(MOD(H220,prime)*ROW($A$1:$A$313),prime)=1)*(ROW($A$1:$A$313)&lt;prime)*ROW($A$1:$A$313)))</f>
        <v/>
      </c>
      <c r="J220">
        <f>MOD(G220*I220,prime)</f>
        <v/>
      </c>
    </row>
    <row r="221">
      <c r="A221" t="n">
        <v>216</v>
      </c>
      <c r="B221">
        <f>MOD(J220*J220-B220-Gx,prime)</f>
        <v/>
      </c>
      <c r="C221">
        <f>MOD(J220*(Gx-B221)-Gy,prime)</f>
        <v/>
      </c>
      <c r="D221">
        <f>MOD(C221*C221,prime)</f>
        <v/>
      </c>
      <c r="E221">
        <f>MOD(B221^3+a*B221+b,prime)</f>
        <v/>
      </c>
      <c r="G221">
        <f>MOD(Gy-C221,prime)</f>
        <v/>
      </c>
      <c r="H221">
        <f>MOD(Gx-B221,prime)</f>
        <v/>
      </c>
      <c r="I221">
        <f>IF(SUMPRODUCT((MOD(MOD(H221,prime)*ROW($A$1:$A$313),prime)=1)*(ROW($A$1:$A$313)&lt;prime)*ROW($A$1:$A$313))=0,NA(),SUMPRODUCT((MOD(MOD(H221,prime)*ROW($A$1:$A$313),prime)=1)*(ROW($A$1:$A$313)&lt;prime)*ROW($A$1:$A$313)))</f>
        <v/>
      </c>
      <c r="J221">
        <f>MOD(G221*I221,prime)</f>
        <v/>
      </c>
    </row>
    <row r="222">
      <c r="A222" t="n">
        <v>217</v>
      </c>
      <c r="B222">
        <f>MOD(J221*J221-B221-Gx,prime)</f>
        <v/>
      </c>
      <c r="C222">
        <f>MOD(J221*(Gx-B222)-Gy,prime)</f>
        <v/>
      </c>
      <c r="D222">
        <f>MOD(C222*C222,prime)</f>
        <v/>
      </c>
      <c r="E222">
        <f>MOD(B222^3+a*B222+b,prime)</f>
        <v/>
      </c>
      <c r="G222">
        <f>MOD(Gy-C222,prime)</f>
        <v/>
      </c>
      <c r="H222">
        <f>MOD(Gx-B222,prime)</f>
        <v/>
      </c>
      <c r="I222">
        <f>IF(SUMPRODUCT((MOD(MOD(H222,prime)*ROW($A$1:$A$313),prime)=1)*(ROW($A$1:$A$313)&lt;prime)*ROW($A$1:$A$313))=0,NA(),SUMPRODUCT((MOD(MOD(H222,prime)*ROW($A$1:$A$313),prime)=1)*(ROW($A$1:$A$313)&lt;prime)*ROW($A$1:$A$313)))</f>
        <v/>
      </c>
      <c r="J222">
        <f>MOD(G222*I222,prime)</f>
        <v/>
      </c>
    </row>
    <row r="223">
      <c r="A223" t="n">
        <v>218</v>
      </c>
      <c r="B223">
        <f>MOD(J222*J222-B222-Gx,prime)</f>
        <v/>
      </c>
      <c r="C223">
        <f>MOD(J222*(Gx-B223)-Gy,prime)</f>
        <v/>
      </c>
      <c r="D223">
        <f>MOD(C223*C223,prime)</f>
        <v/>
      </c>
      <c r="E223">
        <f>MOD(B223^3+a*B223+b,prime)</f>
        <v/>
      </c>
      <c r="G223">
        <f>MOD(Gy-C223,prime)</f>
        <v/>
      </c>
      <c r="H223">
        <f>MOD(Gx-B223,prime)</f>
        <v/>
      </c>
      <c r="I223">
        <f>IF(SUMPRODUCT((MOD(MOD(H223,prime)*ROW($A$1:$A$313),prime)=1)*(ROW($A$1:$A$313)&lt;prime)*ROW($A$1:$A$313))=0,NA(),SUMPRODUCT((MOD(MOD(H223,prime)*ROW($A$1:$A$313),prime)=1)*(ROW($A$1:$A$313)&lt;prime)*ROW($A$1:$A$313)))</f>
        <v/>
      </c>
      <c r="J223">
        <f>MOD(G223*I223,prime)</f>
        <v/>
      </c>
    </row>
    <row r="224">
      <c r="A224" t="n">
        <v>219</v>
      </c>
      <c r="B224">
        <f>MOD(J223*J223-B223-Gx,prime)</f>
        <v/>
      </c>
      <c r="C224">
        <f>MOD(J223*(Gx-B224)-Gy,prime)</f>
        <v/>
      </c>
      <c r="D224">
        <f>MOD(C224*C224,prime)</f>
        <v/>
      </c>
      <c r="E224">
        <f>MOD(B224^3+a*B224+b,prime)</f>
        <v/>
      </c>
      <c r="G224">
        <f>MOD(Gy-C224,prime)</f>
        <v/>
      </c>
      <c r="H224">
        <f>MOD(Gx-B224,prime)</f>
        <v/>
      </c>
      <c r="I224">
        <f>IF(SUMPRODUCT((MOD(MOD(H224,prime)*ROW($A$1:$A$313),prime)=1)*(ROW($A$1:$A$313)&lt;prime)*ROW($A$1:$A$313))=0,NA(),SUMPRODUCT((MOD(MOD(H224,prime)*ROW($A$1:$A$313),prime)=1)*(ROW($A$1:$A$313)&lt;prime)*ROW($A$1:$A$313)))</f>
        <v/>
      </c>
      <c r="J224">
        <f>MOD(G224*I224,prime)</f>
        <v/>
      </c>
    </row>
    <row r="225">
      <c r="A225" t="n">
        <v>220</v>
      </c>
      <c r="B225">
        <f>MOD(J224*J224-B224-Gx,prime)</f>
        <v/>
      </c>
      <c r="C225">
        <f>MOD(J224*(Gx-B225)-Gy,prime)</f>
        <v/>
      </c>
      <c r="D225">
        <f>MOD(C225*C225,prime)</f>
        <v/>
      </c>
      <c r="E225">
        <f>MOD(B225^3+a*B225+b,prime)</f>
        <v/>
      </c>
      <c r="G225">
        <f>MOD(Gy-C225,prime)</f>
        <v/>
      </c>
      <c r="H225">
        <f>MOD(Gx-B225,prime)</f>
        <v/>
      </c>
      <c r="I225">
        <f>IF(SUMPRODUCT((MOD(MOD(H225,prime)*ROW($A$1:$A$313),prime)=1)*(ROW($A$1:$A$313)&lt;prime)*ROW($A$1:$A$313))=0,NA(),SUMPRODUCT((MOD(MOD(H225,prime)*ROW($A$1:$A$313),prime)=1)*(ROW($A$1:$A$313)&lt;prime)*ROW($A$1:$A$313)))</f>
        <v/>
      </c>
      <c r="J225">
        <f>MOD(G225*I225,prime)</f>
        <v/>
      </c>
    </row>
    <row r="226">
      <c r="A226" t="n">
        <v>221</v>
      </c>
      <c r="B226">
        <f>MOD(J225*J225-B225-Gx,prime)</f>
        <v/>
      </c>
      <c r="C226">
        <f>MOD(J225*(Gx-B226)-Gy,prime)</f>
        <v/>
      </c>
      <c r="D226">
        <f>MOD(C226*C226,prime)</f>
        <v/>
      </c>
      <c r="E226">
        <f>MOD(B226^3+a*B226+b,prime)</f>
        <v/>
      </c>
      <c r="G226">
        <f>MOD(Gy-C226,prime)</f>
        <v/>
      </c>
      <c r="H226">
        <f>MOD(Gx-B226,prime)</f>
        <v/>
      </c>
      <c r="I226">
        <f>IF(SUMPRODUCT((MOD(MOD(H226,prime)*ROW($A$1:$A$313),prime)=1)*(ROW($A$1:$A$313)&lt;prime)*ROW($A$1:$A$313))=0,NA(),SUMPRODUCT((MOD(MOD(H226,prime)*ROW($A$1:$A$313),prime)=1)*(ROW($A$1:$A$313)&lt;prime)*ROW($A$1:$A$313)))</f>
        <v/>
      </c>
      <c r="J226">
        <f>MOD(G226*I226,prime)</f>
        <v/>
      </c>
    </row>
    <row r="227">
      <c r="A227" t="n">
        <v>222</v>
      </c>
      <c r="B227">
        <f>MOD(J226*J226-B226-Gx,prime)</f>
        <v/>
      </c>
      <c r="C227">
        <f>MOD(J226*(Gx-B227)-Gy,prime)</f>
        <v/>
      </c>
      <c r="D227">
        <f>MOD(C227*C227,prime)</f>
        <v/>
      </c>
      <c r="E227">
        <f>MOD(B227^3+a*B227+b,prime)</f>
        <v/>
      </c>
      <c r="G227">
        <f>MOD(Gy-C227,prime)</f>
        <v/>
      </c>
      <c r="H227">
        <f>MOD(Gx-B227,prime)</f>
        <v/>
      </c>
      <c r="I227">
        <f>IF(SUMPRODUCT((MOD(MOD(H227,prime)*ROW($A$1:$A$313),prime)=1)*(ROW($A$1:$A$313)&lt;prime)*ROW($A$1:$A$313))=0,NA(),SUMPRODUCT((MOD(MOD(H227,prime)*ROW($A$1:$A$313),prime)=1)*(ROW($A$1:$A$313)&lt;prime)*ROW($A$1:$A$313)))</f>
        <v/>
      </c>
      <c r="J227">
        <f>MOD(G227*I227,prime)</f>
        <v/>
      </c>
    </row>
    <row r="228">
      <c r="A228" t="n">
        <v>223</v>
      </c>
      <c r="B228">
        <f>MOD(J227*J227-B227-Gx,prime)</f>
        <v/>
      </c>
      <c r="C228">
        <f>MOD(J227*(Gx-B228)-Gy,prime)</f>
        <v/>
      </c>
      <c r="D228">
        <f>MOD(C228*C228,prime)</f>
        <v/>
      </c>
      <c r="E228">
        <f>MOD(B228^3+a*B228+b,prime)</f>
        <v/>
      </c>
      <c r="G228">
        <f>MOD(Gy-C228,prime)</f>
        <v/>
      </c>
      <c r="H228">
        <f>MOD(Gx-B228,prime)</f>
        <v/>
      </c>
      <c r="I228">
        <f>IF(SUMPRODUCT((MOD(MOD(H228,prime)*ROW($A$1:$A$313),prime)=1)*(ROW($A$1:$A$313)&lt;prime)*ROW($A$1:$A$313))=0,NA(),SUMPRODUCT((MOD(MOD(H228,prime)*ROW($A$1:$A$313),prime)=1)*(ROW($A$1:$A$313)&lt;prime)*ROW($A$1:$A$313)))</f>
        <v/>
      </c>
      <c r="J228">
        <f>MOD(G228*I228,prime)</f>
        <v/>
      </c>
    </row>
    <row r="229">
      <c r="A229" t="n">
        <v>224</v>
      </c>
      <c r="B229">
        <f>MOD(J228*J228-B228-Gx,prime)</f>
        <v/>
      </c>
      <c r="C229">
        <f>MOD(J228*(Gx-B229)-Gy,prime)</f>
        <v/>
      </c>
      <c r="D229">
        <f>MOD(C229*C229,prime)</f>
        <v/>
      </c>
      <c r="E229">
        <f>MOD(B229^3+a*B229+b,prime)</f>
        <v/>
      </c>
      <c r="G229">
        <f>MOD(Gy-C229,prime)</f>
        <v/>
      </c>
      <c r="H229">
        <f>MOD(Gx-B229,prime)</f>
        <v/>
      </c>
      <c r="I229">
        <f>IF(SUMPRODUCT((MOD(MOD(H229,prime)*ROW($A$1:$A$313),prime)=1)*(ROW($A$1:$A$313)&lt;prime)*ROW($A$1:$A$313))=0,NA(),SUMPRODUCT((MOD(MOD(H229,prime)*ROW($A$1:$A$313),prime)=1)*(ROW($A$1:$A$313)&lt;prime)*ROW($A$1:$A$313)))</f>
        <v/>
      </c>
      <c r="J229">
        <f>MOD(G229*I229,prime)</f>
        <v/>
      </c>
    </row>
    <row r="230">
      <c r="A230" t="n">
        <v>225</v>
      </c>
      <c r="B230">
        <f>MOD(J229*J229-B229-Gx,prime)</f>
        <v/>
      </c>
      <c r="C230">
        <f>MOD(J229*(Gx-B230)-Gy,prime)</f>
        <v/>
      </c>
      <c r="D230">
        <f>MOD(C230*C230,prime)</f>
        <v/>
      </c>
      <c r="E230">
        <f>MOD(B230^3+a*B230+b,prime)</f>
        <v/>
      </c>
      <c r="G230">
        <f>MOD(Gy-C230,prime)</f>
        <v/>
      </c>
      <c r="H230">
        <f>MOD(Gx-B230,prime)</f>
        <v/>
      </c>
      <c r="I230">
        <f>IF(SUMPRODUCT((MOD(MOD(H230,prime)*ROW($A$1:$A$313),prime)=1)*(ROW($A$1:$A$313)&lt;prime)*ROW($A$1:$A$313))=0,NA(),SUMPRODUCT((MOD(MOD(H230,prime)*ROW($A$1:$A$313),prime)=1)*(ROW($A$1:$A$313)&lt;prime)*ROW($A$1:$A$313)))</f>
        <v/>
      </c>
      <c r="J230">
        <f>MOD(G230*I230,prime)</f>
        <v/>
      </c>
    </row>
    <row r="231">
      <c r="A231" t="n">
        <v>226</v>
      </c>
      <c r="B231">
        <f>MOD(J230*J230-B230-Gx,prime)</f>
        <v/>
      </c>
      <c r="C231">
        <f>MOD(J230*(Gx-B231)-Gy,prime)</f>
        <v/>
      </c>
      <c r="D231">
        <f>MOD(C231*C231,prime)</f>
        <v/>
      </c>
      <c r="E231">
        <f>MOD(B231^3+a*B231+b,prime)</f>
        <v/>
      </c>
      <c r="G231">
        <f>MOD(Gy-C231,prime)</f>
        <v/>
      </c>
      <c r="H231">
        <f>MOD(Gx-B231,prime)</f>
        <v/>
      </c>
      <c r="I231">
        <f>IF(SUMPRODUCT((MOD(MOD(H231,prime)*ROW($A$1:$A$313),prime)=1)*(ROW($A$1:$A$313)&lt;prime)*ROW($A$1:$A$313))=0,NA(),SUMPRODUCT((MOD(MOD(H231,prime)*ROW($A$1:$A$313),prime)=1)*(ROW($A$1:$A$313)&lt;prime)*ROW($A$1:$A$313)))</f>
        <v/>
      </c>
      <c r="J231">
        <f>MOD(G231*I231,prime)</f>
        <v/>
      </c>
    </row>
    <row r="232">
      <c r="A232" t="n">
        <v>227</v>
      </c>
      <c r="B232">
        <f>MOD(J231*J231-B231-Gx,prime)</f>
        <v/>
      </c>
      <c r="C232">
        <f>MOD(J231*(Gx-B232)-Gy,prime)</f>
        <v/>
      </c>
      <c r="D232">
        <f>MOD(C232*C232,prime)</f>
        <v/>
      </c>
      <c r="E232">
        <f>MOD(B232^3+a*B232+b,prime)</f>
        <v/>
      </c>
      <c r="G232">
        <f>MOD(Gy-C232,prime)</f>
        <v/>
      </c>
      <c r="H232">
        <f>MOD(Gx-B232,prime)</f>
        <v/>
      </c>
      <c r="I232">
        <f>IF(SUMPRODUCT((MOD(MOD(H232,prime)*ROW($A$1:$A$313),prime)=1)*(ROW($A$1:$A$313)&lt;prime)*ROW($A$1:$A$313))=0,NA(),SUMPRODUCT((MOD(MOD(H232,prime)*ROW($A$1:$A$313),prime)=1)*(ROW($A$1:$A$313)&lt;prime)*ROW($A$1:$A$313)))</f>
        <v/>
      </c>
      <c r="J232">
        <f>MOD(G232*I232,prime)</f>
        <v/>
      </c>
    </row>
    <row r="233">
      <c r="A233" t="n">
        <v>228</v>
      </c>
      <c r="B233">
        <f>MOD(J232*J232-B232-Gx,prime)</f>
        <v/>
      </c>
      <c r="C233">
        <f>MOD(J232*(Gx-B233)-Gy,prime)</f>
        <v/>
      </c>
      <c r="D233">
        <f>MOD(C233*C233,prime)</f>
        <v/>
      </c>
      <c r="E233">
        <f>MOD(B233^3+a*B233+b,prime)</f>
        <v/>
      </c>
      <c r="G233">
        <f>MOD(Gy-C233,prime)</f>
        <v/>
      </c>
      <c r="H233">
        <f>MOD(Gx-B233,prime)</f>
        <v/>
      </c>
      <c r="I233">
        <f>IF(SUMPRODUCT((MOD(MOD(H233,prime)*ROW($A$1:$A$313),prime)=1)*(ROW($A$1:$A$313)&lt;prime)*ROW($A$1:$A$313))=0,NA(),SUMPRODUCT((MOD(MOD(H233,prime)*ROW($A$1:$A$313),prime)=1)*(ROW($A$1:$A$313)&lt;prime)*ROW($A$1:$A$313)))</f>
        <v/>
      </c>
      <c r="J233">
        <f>MOD(G233*I233,prime)</f>
        <v/>
      </c>
    </row>
    <row r="234">
      <c r="A234" t="n">
        <v>229</v>
      </c>
      <c r="B234">
        <f>MOD(J233*J233-B233-Gx,prime)</f>
        <v/>
      </c>
      <c r="C234">
        <f>MOD(J233*(Gx-B234)-Gy,prime)</f>
        <v/>
      </c>
      <c r="D234">
        <f>MOD(C234*C234,prime)</f>
        <v/>
      </c>
      <c r="E234">
        <f>MOD(B234^3+a*B234+b,prime)</f>
        <v/>
      </c>
      <c r="G234">
        <f>MOD(Gy-C234,prime)</f>
        <v/>
      </c>
      <c r="H234">
        <f>MOD(Gx-B234,prime)</f>
        <v/>
      </c>
      <c r="I234">
        <f>IF(SUMPRODUCT((MOD(MOD(H234,prime)*ROW($A$1:$A$313),prime)=1)*(ROW($A$1:$A$313)&lt;prime)*ROW($A$1:$A$313))=0,NA(),SUMPRODUCT((MOD(MOD(H234,prime)*ROW($A$1:$A$313),prime)=1)*(ROW($A$1:$A$313)&lt;prime)*ROW($A$1:$A$313)))</f>
        <v/>
      </c>
      <c r="J234">
        <f>MOD(G234*I234,prime)</f>
        <v/>
      </c>
    </row>
    <row r="235">
      <c r="A235" t="n">
        <v>230</v>
      </c>
      <c r="B235">
        <f>MOD(J234*J234-B234-Gx,prime)</f>
        <v/>
      </c>
      <c r="C235">
        <f>MOD(J234*(Gx-B235)-Gy,prime)</f>
        <v/>
      </c>
      <c r="D235">
        <f>MOD(C235*C235,prime)</f>
        <v/>
      </c>
      <c r="E235">
        <f>MOD(B235^3+a*B235+b,prime)</f>
        <v/>
      </c>
      <c r="G235">
        <f>MOD(Gy-C235,prime)</f>
        <v/>
      </c>
      <c r="H235">
        <f>MOD(Gx-B235,prime)</f>
        <v/>
      </c>
      <c r="I235">
        <f>IF(SUMPRODUCT((MOD(MOD(H235,prime)*ROW($A$1:$A$313),prime)=1)*(ROW($A$1:$A$313)&lt;prime)*ROW($A$1:$A$313))=0,NA(),SUMPRODUCT((MOD(MOD(H235,prime)*ROW($A$1:$A$313),prime)=1)*(ROW($A$1:$A$313)&lt;prime)*ROW($A$1:$A$313)))</f>
        <v/>
      </c>
      <c r="J235">
        <f>MOD(G235*I235,prime)</f>
        <v/>
      </c>
    </row>
    <row r="236">
      <c r="A236" t="n">
        <v>231</v>
      </c>
      <c r="B236">
        <f>MOD(J235*J235-B235-Gx,prime)</f>
        <v/>
      </c>
      <c r="C236">
        <f>MOD(J235*(Gx-B236)-Gy,prime)</f>
        <v/>
      </c>
      <c r="D236">
        <f>MOD(C236*C236,prime)</f>
        <v/>
      </c>
      <c r="E236">
        <f>MOD(B236^3+a*B236+b,prime)</f>
        <v/>
      </c>
      <c r="G236">
        <f>MOD(Gy-C236,prime)</f>
        <v/>
      </c>
      <c r="H236">
        <f>MOD(Gx-B236,prime)</f>
        <v/>
      </c>
      <c r="I236">
        <f>IF(SUMPRODUCT((MOD(MOD(H236,prime)*ROW($A$1:$A$313),prime)=1)*(ROW($A$1:$A$313)&lt;prime)*ROW($A$1:$A$313))=0,NA(),SUMPRODUCT((MOD(MOD(H236,prime)*ROW($A$1:$A$313),prime)=1)*(ROW($A$1:$A$313)&lt;prime)*ROW($A$1:$A$313)))</f>
        <v/>
      </c>
      <c r="J236">
        <f>MOD(G236*I236,prime)</f>
        <v/>
      </c>
    </row>
    <row r="237">
      <c r="A237" t="n">
        <v>232</v>
      </c>
      <c r="B237">
        <f>MOD(J236*J236-B236-Gx,prime)</f>
        <v/>
      </c>
      <c r="C237">
        <f>MOD(J236*(Gx-B237)-Gy,prime)</f>
        <v/>
      </c>
      <c r="D237">
        <f>MOD(C237*C237,prime)</f>
        <v/>
      </c>
      <c r="E237">
        <f>MOD(B237^3+a*B237+b,prime)</f>
        <v/>
      </c>
      <c r="G237">
        <f>MOD(Gy-C237,prime)</f>
        <v/>
      </c>
      <c r="H237">
        <f>MOD(Gx-B237,prime)</f>
        <v/>
      </c>
      <c r="I237">
        <f>IF(SUMPRODUCT((MOD(MOD(H237,prime)*ROW($A$1:$A$313),prime)=1)*(ROW($A$1:$A$313)&lt;prime)*ROW($A$1:$A$313))=0,NA(),SUMPRODUCT((MOD(MOD(H237,prime)*ROW($A$1:$A$313),prime)=1)*(ROW($A$1:$A$313)&lt;prime)*ROW($A$1:$A$313)))</f>
        <v/>
      </c>
      <c r="J237">
        <f>MOD(G237*I237,prime)</f>
        <v/>
      </c>
    </row>
    <row r="238">
      <c r="A238" t="n">
        <v>233</v>
      </c>
      <c r="B238">
        <f>MOD(J237*J237-B237-Gx,prime)</f>
        <v/>
      </c>
      <c r="C238">
        <f>MOD(J237*(Gx-B238)-Gy,prime)</f>
        <v/>
      </c>
      <c r="D238">
        <f>MOD(C238*C238,prime)</f>
        <v/>
      </c>
      <c r="E238">
        <f>MOD(B238^3+a*B238+b,prime)</f>
        <v/>
      </c>
      <c r="G238">
        <f>MOD(Gy-C238,prime)</f>
        <v/>
      </c>
      <c r="H238">
        <f>MOD(Gx-B238,prime)</f>
        <v/>
      </c>
      <c r="I238">
        <f>IF(SUMPRODUCT((MOD(MOD(H238,prime)*ROW($A$1:$A$313),prime)=1)*(ROW($A$1:$A$313)&lt;prime)*ROW($A$1:$A$313))=0,NA(),SUMPRODUCT((MOD(MOD(H238,prime)*ROW($A$1:$A$313),prime)=1)*(ROW($A$1:$A$313)&lt;prime)*ROW($A$1:$A$313)))</f>
        <v/>
      </c>
      <c r="J238">
        <f>MOD(G238*I238,prime)</f>
        <v/>
      </c>
    </row>
    <row r="239">
      <c r="A239" t="n">
        <v>234</v>
      </c>
      <c r="B239">
        <f>MOD(J238*J238-B238-Gx,prime)</f>
        <v/>
      </c>
      <c r="C239">
        <f>MOD(J238*(Gx-B239)-Gy,prime)</f>
        <v/>
      </c>
      <c r="D239">
        <f>MOD(C239*C239,prime)</f>
        <v/>
      </c>
      <c r="E239">
        <f>MOD(B239^3+a*B239+b,prime)</f>
        <v/>
      </c>
      <c r="G239">
        <f>MOD(Gy-C239,prime)</f>
        <v/>
      </c>
      <c r="H239">
        <f>MOD(Gx-B239,prime)</f>
        <v/>
      </c>
      <c r="I239">
        <f>IF(SUMPRODUCT((MOD(MOD(H239,prime)*ROW($A$1:$A$313),prime)=1)*(ROW($A$1:$A$313)&lt;prime)*ROW($A$1:$A$313))=0,NA(),SUMPRODUCT((MOD(MOD(H239,prime)*ROW($A$1:$A$313),prime)=1)*(ROW($A$1:$A$313)&lt;prime)*ROW($A$1:$A$313)))</f>
        <v/>
      </c>
      <c r="J239">
        <f>MOD(G239*I239,prime)</f>
        <v/>
      </c>
    </row>
    <row r="240">
      <c r="A240" t="n">
        <v>235</v>
      </c>
      <c r="B240">
        <f>MOD(J239*J239-B239-Gx,prime)</f>
        <v/>
      </c>
      <c r="C240">
        <f>MOD(J239*(Gx-B240)-Gy,prime)</f>
        <v/>
      </c>
      <c r="D240">
        <f>MOD(C240*C240,prime)</f>
        <v/>
      </c>
      <c r="E240">
        <f>MOD(B240^3+a*B240+b,prime)</f>
        <v/>
      </c>
      <c r="G240">
        <f>MOD(Gy-C240,prime)</f>
        <v/>
      </c>
      <c r="H240">
        <f>MOD(Gx-B240,prime)</f>
        <v/>
      </c>
      <c r="I240">
        <f>IF(SUMPRODUCT((MOD(MOD(H240,prime)*ROW($A$1:$A$313),prime)=1)*(ROW($A$1:$A$313)&lt;prime)*ROW($A$1:$A$313))=0,NA(),SUMPRODUCT((MOD(MOD(H240,prime)*ROW($A$1:$A$313),prime)=1)*(ROW($A$1:$A$313)&lt;prime)*ROW($A$1:$A$313)))</f>
        <v/>
      </c>
      <c r="J240">
        <f>MOD(G240*I240,prime)</f>
        <v/>
      </c>
    </row>
    <row r="241">
      <c r="A241" t="n">
        <v>236</v>
      </c>
      <c r="B241">
        <f>MOD(J240*J240-B240-Gx,prime)</f>
        <v/>
      </c>
      <c r="C241">
        <f>MOD(J240*(Gx-B241)-Gy,prime)</f>
        <v/>
      </c>
      <c r="D241">
        <f>MOD(C241*C241,prime)</f>
        <v/>
      </c>
      <c r="E241">
        <f>MOD(B241^3+a*B241+b,prime)</f>
        <v/>
      </c>
      <c r="G241">
        <f>MOD(Gy-C241,prime)</f>
        <v/>
      </c>
      <c r="H241">
        <f>MOD(Gx-B241,prime)</f>
        <v/>
      </c>
      <c r="I241">
        <f>IF(SUMPRODUCT((MOD(MOD(H241,prime)*ROW($A$1:$A$313),prime)=1)*(ROW($A$1:$A$313)&lt;prime)*ROW($A$1:$A$313))=0,NA(),SUMPRODUCT((MOD(MOD(H241,prime)*ROW($A$1:$A$313),prime)=1)*(ROW($A$1:$A$313)&lt;prime)*ROW($A$1:$A$313)))</f>
        <v/>
      </c>
      <c r="J241">
        <f>MOD(G241*I241,prime)</f>
        <v/>
      </c>
    </row>
    <row r="242">
      <c r="A242" t="n">
        <v>237</v>
      </c>
      <c r="B242">
        <f>MOD(J241*J241-B241-Gx,prime)</f>
        <v/>
      </c>
      <c r="C242">
        <f>MOD(J241*(Gx-B242)-Gy,prime)</f>
        <v/>
      </c>
      <c r="D242">
        <f>MOD(C242*C242,prime)</f>
        <v/>
      </c>
      <c r="E242">
        <f>MOD(B242^3+a*B242+b,prime)</f>
        <v/>
      </c>
      <c r="G242">
        <f>MOD(Gy-C242,prime)</f>
        <v/>
      </c>
      <c r="H242">
        <f>MOD(Gx-B242,prime)</f>
        <v/>
      </c>
      <c r="I242">
        <f>IF(SUMPRODUCT((MOD(MOD(H242,prime)*ROW($A$1:$A$313),prime)=1)*(ROW($A$1:$A$313)&lt;prime)*ROW($A$1:$A$313))=0,NA(),SUMPRODUCT((MOD(MOD(H242,prime)*ROW($A$1:$A$313),prime)=1)*(ROW($A$1:$A$313)&lt;prime)*ROW($A$1:$A$313)))</f>
        <v/>
      </c>
      <c r="J242">
        <f>MOD(G242*I242,prime)</f>
        <v/>
      </c>
    </row>
    <row r="243">
      <c r="A243" t="n">
        <v>238</v>
      </c>
      <c r="B243">
        <f>MOD(J242*J242-B242-Gx,prime)</f>
        <v/>
      </c>
      <c r="C243">
        <f>MOD(J242*(Gx-B243)-Gy,prime)</f>
        <v/>
      </c>
      <c r="D243">
        <f>MOD(C243*C243,prime)</f>
        <v/>
      </c>
      <c r="E243">
        <f>MOD(B243^3+a*B243+b,prime)</f>
        <v/>
      </c>
      <c r="G243">
        <f>MOD(Gy-C243,prime)</f>
        <v/>
      </c>
      <c r="H243">
        <f>MOD(Gx-B243,prime)</f>
        <v/>
      </c>
      <c r="I243">
        <f>IF(SUMPRODUCT((MOD(MOD(H243,prime)*ROW($A$1:$A$313),prime)=1)*(ROW($A$1:$A$313)&lt;prime)*ROW($A$1:$A$313))=0,NA(),SUMPRODUCT((MOD(MOD(H243,prime)*ROW($A$1:$A$313),prime)=1)*(ROW($A$1:$A$313)&lt;prime)*ROW($A$1:$A$313)))</f>
        <v/>
      </c>
      <c r="J243">
        <f>MOD(G243*I243,prime)</f>
        <v/>
      </c>
    </row>
    <row r="244">
      <c r="A244" t="n">
        <v>239</v>
      </c>
      <c r="B244">
        <f>MOD(J243*J243-B243-Gx,prime)</f>
        <v/>
      </c>
      <c r="C244">
        <f>MOD(J243*(Gx-B244)-Gy,prime)</f>
        <v/>
      </c>
      <c r="D244">
        <f>MOD(C244*C244,prime)</f>
        <v/>
      </c>
      <c r="E244">
        <f>MOD(B244^3+a*B244+b,prime)</f>
        <v/>
      </c>
      <c r="G244">
        <f>MOD(Gy-C244,prime)</f>
        <v/>
      </c>
      <c r="H244">
        <f>MOD(Gx-B244,prime)</f>
        <v/>
      </c>
      <c r="I244">
        <f>IF(SUMPRODUCT((MOD(MOD(H244,prime)*ROW($A$1:$A$313),prime)=1)*(ROW($A$1:$A$313)&lt;prime)*ROW($A$1:$A$313))=0,NA(),SUMPRODUCT((MOD(MOD(H244,prime)*ROW($A$1:$A$313),prime)=1)*(ROW($A$1:$A$313)&lt;prime)*ROW($A$1:$A$313)))</f>
        <v/>
      </c>
      <c r="J244">
        <f>MOD(G244*I244,prime)</f>
        <v/>
      </c>
    </row>
    <row r="245">
      <c r="A245" t="n">
        <v>240</v>
      </c>
      <c r="B245">
        <f>MOD(J244*J244-B244-Gx,prime)</f>
        <v/>
      </c>
      <c r="C245">
        <f>MOD(J244*(Gx-B245)-Gy,prime)</f>
        <v/>
      </c>
      <c r="D245">
        <f>MOD(C245*C245,prime)</f>
        <v/>
      </c>
      <c r="E245">
        <f>MOD(B245^3+a*B245+b,prime)</f>
        <v/>
      </c>
      <c r="G245">
        <f>MOD(Gy-C245,prime)</f>
        <v/>
      </c>
      <c r="H245">
        <f>MOD(Gx-B245,prime)</f>
        <v/>
      </c>
      <c r="I245">
        <f>IF(SUMPRODUCT((MOD(MOD(H245,prime)*ROW($A$1:$A$313),prime)=1)*(ROW($A$1:$A$313)&lt;prime)*ROW($A$1:$A$313))=0,NA(),SUMPRODUCT((MOD(MOD(H245,prime)*ROW($A$1:$A$313),prime)=1)*(ROW($A$1:$A$313)&lt;prime)*ROW($A$1:$A$313)))</f>
        <v/>
      </c>
      <c r="J245">
        <f>MOD(G245*I245,prime)</f>
        <v/>
      </c>
    </row>
    <row r="246">
      <c r="A246" t="n">
        <v>241</v>
      </c>
      <c r="B246">
        <f>MOD(J245*J245-B245-Gx,prime)</f>
        <v/>
      </c>
      <c r="C246">
        <f>MOD(J245*(Gx-B246)-Gy,prime)</f>
        <v/>
      </c>
      <c r="D246">
        <f>MOD(C246*C246,prime)</f>
        <v/>
      </c>
      <c r="E246">
        <f>MOD(B246^3+a*B246+b,prime)</f>
        <v/>
      </c>
      <c r="G246">
        <f>MOD(Gy-C246,prime)</f>
        <v/>
      </c>
      <c r="H246">
        <f>MOD(Gx-B246,prime)</f>
        <v/>
      </c>
      <c r="I246">
        <f>IF(SUMPRODUCT((MOD(MOD(H246,prime)*ROW($A$1:$A$313),prime)=1)*(ROW($A$1:$A$313)&lt;prime)*ROW($A$1:$A$313))=0,NA(),SUMPRODUCT((MOD(MOD(H246,prime)*ROW($A$1:$A$313),prime)=1)*(ROW($A$1:$A$313)&lt;prime)*ROW($A$1:$A$313)))</f>
        <v/>
      </c>
      <c r="J246">
        <f>MOD(G246*I246,prime)</f>
        <v/>
      </c>
    </row>
    <row r="247">
      <c r="A247" t="n">
        <v>242</v>
      </c>
      <c r="B247">
        <f>MOD(J246*J246-B246-Gx,prime)</f>
        <v/>
      </c>
      <c r="C247">
        <f>MOD(J246*(Gx-B247)-Gy,prime)</f>
        <v/>
      </c>
      <c r="D247">
        <f>MOD(C247*C247,prime)</f>
        <v/>
      </c>
      <c r="E247">
        <f>MOD(B247^3+a*B247+b,prime)</f>
        <v/>
      </c>
      <c r="G247">
        <f>MOD(Gy-C247,prime)</f>
        <v/>
      </c>
      <c r="H247">
        <f>MOD(Gx-B247,prime)</f>
        <v/>
      </c>
      <c r="I247">
        <f>IF(SUMPRODUCT((MOD(MOD(H247,prime)*ROW($A$1:$A$313),prime)=1)*(ROW($A$1:$A$313)&lt;prime)*ROW($A$1:$A$313))=0,NA(),SUMPRODUCT((MOD(MOD(H247,prime)*ROW($A$1:$A$313),prime)=1)*(ROW($A$1:$A$313)&lt;prime)*ROW($A$1:$A$313)))</f>
        <v/>
      </c>
      <c r="J247">
        <f>MOD(G247*I247,prime)</f>
        <v/>
      </c>
    </row>
    <row r="248">
      <c r="A248" t="n">
        <v>243</v>
      </c>
      <c r="B248">
        <f>MOD(J247*J247-B247-Gx,prime)</f>
        <v/>
      </c>
      <c r="C248">
        <f>MOD(J247*(Gx-B248)-Gy,prime)</f>
        <v/>
      </c>
      <c r="D248">
        <f>MOD(C248*C248,prime)</f>
        <v/>
      </c>
      <c r="E248">
        <f>MOD(B248^3+a*B248+b,prime)</f>
        <v/>
      </c>
      <c r="G248">
        <f>MOD(Gy-C248,prime)</f>
        <v/>
      </c>
      <c r="H248">
        <f>MOD(Gx-B248,prime)</f>
        <v/>
      </c>
      <c r="I248">
        <f>IF(SUMPRODUCT((MOD(MOD(H248,prime)*ROW($A$1:$A$313),prime)=1)*(ROW($A$1:$A$313)&lt;prime)*ROW($A$1:$A$313))=0,NA(),SUMPRODUCT((MOD(MOD(H248,prime)*ROW($A$1:$A$313),prime)=1)*(ROW($A$1:$A$313)&lt;prime)*ROW($A$1:$A$313)))</f>
        <v/>
      </c>
      <c r="J248">
        <f>MOD(G248*I248,prime)</f>
        <v/>
      </c>
    </row>
    <row r="249">
      <c r="A249" t="n">
        <v>244</v>
      </c>
      <c r="B249">
        <f>MOD(J248*J248-B248-Gx,prime)</f>
        <v/>
      </c>
      <c r="C249">
        <f>MOD(J248*(Gx-B249)-Gy,prime)</f>
        <v/>
      </c>
      <c r="D249">
        <f>MOD(C249*C249,prime)</f>
        <v/>
      </c>
      <c r="E249">
        <f>MOD(B249^3+a*B249+b,prime)</f>
        <v/>
      </c>
      <c r="G249">
        <f>MOD(Gy-C249,prime)</f>
        <v/>
      </c>
      <c r="H249">
        <f>MOD(Gx-B249,prime)</f>
        <v/>
      </c>
      <c r="I249">
        <f>IF(SUMPRODUCT((MOD(MOD(H249,prime)*ROW($A$1:$A$313),prime)=1)*(ROW($A$1:$A$313)&lt;prime)*ROW($A$1:$A$313))=0,NA(),SUMPRODUCT((MOD(MOD(H249,prime)*ROW($A$1:$A$313),prime)=1)*(ROW($A$1:$A$313)&lt;prime)*ROW($A$1:$A$313)))</f>
        <v/>
      </c>
      <c r="J249">
        <f>MOD(G249*I249,prime)</f>
        <v/>
      </c>
    </row>
    <row r="250">
      <c r="A250" t="n">
        <v>245</v>
      </c>
      <c r="B250">
        <f>MOD(J249*J249-B249-Gx,prime)</f>
        <v/>
      </c>
      <c r="C250">
        <f>MOD(J249*(Gx-B250)-Gy,prime)</f>
        <v/>
      </c>
      <c r="D250">
        <f>MOD(C250*C250,prime)</f>
        <v/>
      </c>
      <c r="E250">
        <f>MOD(B250^3+a*B250+b,prime)</f>
        <v/>
      </c>
      <c r="G250">
        <f>MOD(Gy-C250,prime)</f>
        <v/>
      </c>
      <c r="H250">
        <f>MOD(Gx-B250,prime)</f>
        <v/>
      </c>
      <c r="I250">
        <f>IF(SUMPRODUCT((MOD(MOD(H250,prime)*ROW($A$1:$A$313),prime)=1)*(ROW($A$1:$A$313)&lt;prime)*ROW($A$1:$A$313))=0,NA(),SUMPRODUCT((MOD(MOD(H250,prime)*ROW($A$1:$A$313),prime)=1)*(ROW($A$1:$A$313)&lt;prime)*ROW($A$1:$A$313)))</f>
        <v/>
      </c>
      <c r="J250">
        <f>MOD(G250*I250,prime)</f>
        <v/>
      </c>
    </row>
    <row r="251">
      <c r="A251" t="n">
        <v>246</v>
      </c>
      <c r="B251">
        <f>MOD(J250*J250-B250-Gx,prime)</f>
        <v/>
      </c>
      <c r="C251">
        <f>MOD(J250*(Gx-B251)-Gy,prime)</f>
        <v/>
      </c>
      <c r="D251">
        <f>MOD(C251*C251,prime)</f>
        <v/>
      </c>
      <c r="E251">
        <f>MOD(B251^3+a*B251+b,prime)</f>
        <v/>
      </c>
      <c r="G251">
        <f>MOD(Gy-C251,prime)</f>
        <v/>
      </c>
      <c r="H251">
        <f>MOD(Gx-B251,prime)</f>
        <v/>
      </c>
      <c r="I251">
        <f>IF(SUMPRODUCT((MOD(MOD(H251,prime)*ROW($A$1:$A$313),prime)=1)*(ROW($A$1:$A$313)&lt;prime)*ROW($A$1:$A$313))=0,NA(),SUMPRODUCT((MOD(MOD(H251,prime)*ROW($A$1:$A$313),prime)=1)*(ROW($A$1:$A$313)&lt;prime)*ROW($A$1:$A$313)))</f>
        <v/>
      </c>
      <c r="J251">
        <f>MOD(G251*I251,prime)</f>
        <v/>
      </c>
    </row>
    <row r="252">
      <c r="A252" t="n">
        <v>247</v>
      </c>
      <c r="B252">
        <f>MOD(J251*J251-B251-Gx,prime)</f>
        <v/>
      </c>
      <c r="C252">
        <f>MOD(J251*(Gx-B252)-Gy,prime)</f>
        <v/>
      </c>
      <c r="D252">
        <f>MOD(C252*C252,prime)</f>
        <v/>
      </c>
      <c r="E252">
        <f>MOD(B252^3+a*B252+b,prime)</f>
        <v/>
      </c>
      <c r="G252">
        <f>MOD(Gy-C252,prime)</f>
        <v/>
      </c>
      <c r="H252">
        <f>MOD(Gx-B252,prime)</f>
        <v/>
      </c>
      <c r="I252">
        <f>IF(SUMPRODUCT((MOD(MOD(H252,prime)*ROW($A$1:$A$313),prime)=1)*(ROW($A$1:$A$313)&lt;prime)*ROW($A$1:$A$313))=0,NA(),SUMPRODUCT((MOD(MOD(H252,prime)*ROW($A$1:$A$313),prime)=1)*(ROW($A$1:$A$313)&lt;prime)*ROW($A$1:$A$313)))</f>
        <v/>
      </c>
      <c r="J252">
        <f>MOD(G252*I252,prime)</f>
        <v/>
      </c>
    </row>
    <row r="253">
      <c r="A253" t="n">
        <v>248</v>
      </c>
      <c r="B253">
        <f>MOD(J252*J252-B252-Gx,prime)</f>
        <v/>
      </c>
      <c r="C253">
        <f>MOD(J252*(Gx-B253)-Gy,prime)</f>
        <v/>
      </c>
      <c r="D253">
        <f>MOD(C253*C253,prime)</f>
        <v/>
      </c>
      <c r="E253">
        <f>MOD(B253^3+a*B253+b,prime)</f>
        <v/>
      </c>
      <c r="G253">
        <f>MOD(Gy-C253,prime)</f>
        <v/>
      </c>
      <c r="H253">
        <f>MOD(Gx-B253,prime)</f>
        <v/>
      </c>
      <c r="I253">
        <f>IF(SUMPRODUCT((MOD(MOD(H253,prime)*ROW($A$1:$A$313),prime)=1)*(ROW($A$1:$A$313)&lt;prime)*ROW($A$1:$A$313))=0,NA(),SUMPRODUCT((MOD(MOD(H253,prime)*ROW($A$1:$A$313),prime)=1)*(ROW($A$1:$A$313)&lt;prime)*ROW($A$1:$A$313)))</f>
        <v/>
      </c>
      <c r="J253">
        <f>MOD(G253*I253,prime)</f>
        <v/>
      </c>
    </row>
    <row r="254">
      <c r="A254" t="n">
        <v>249</v>
      </c>
      <c r="B254">
        <f>MOD(J253*J253-B253-Gx,prime)</f>
        <v/>
      </c>
      <c r="C254">
        <f>MOD(J253*(Gx-B254)-Gy,prime)</f>
        <v/>
      </c>
      <c r="D254">
        <f>MOD(C254*C254,prime)</f>
        <v/>
      </c>
      <c r="E254">
        <f>MOD(B254^3+a*B254+b,prime)</f>
        <v/>
      </c>
      <c r="G254">
        <f>MOD(Gy-C254,prime)</f>
        <v/>
      </c>
      <c r="H254">
        <f>MOD(Gx-B254,prime)</f>
        <v/>
      </c>
      <c r="I254">
        <f>IF(SUMPRODUCT((MOD(MOD(H254,prime)*ROW($A$1:$A$313),prime)=1)*(ROW($A$1:$A$313)&lt;prime)*ROW($A$1:$A$313))=0,NA(),SUMPRODUCT((MOD(MOD(H254,prime)*ROW($A$1:$A$313),prime)=1)*(ROW($A$1:$A$313)&lt;prime)*ROW($A$1:$A$313)))</f>
        <v/>
      </c>
      <c r="J254">
        <f>MOD(G254*I254,prime)</f>
        <v/>
      </c>
    </row>
    <row r="255">
      <c r="A255" t="n">
        <v>250</v>
      </c>
      <c r="B255">
        <f>MOD(J254*J254-B254-Gx,prime)</f>
        <v/>
      </c>
      <c r="C255">
        <f>MOD(J254*(Gx-B255)-Gy,prime)</f>
        <v/>
      </c>
      <c r="D255">
        <f>MOD(C255*C255,prime)</f>
        <v/>
      </c>
      <c r="E255">
        <f>MOD(B255^3+a*B255+b,prime)</f>
        <v/>
      </c>
      <c r="G255">
        <f>MOD(Gy-C255,prime)</f>
        <v/>
      </c>
      <c r="H255">
        <f>MOD(Gx-B255,prime)</f>
        <v/>
      </c>
      <c r="I255">
        <f>IF(SUMPRODUCT((MOD(MOD(H255,prime)*ROW($A$1:$A$313),prime)=1)*(ROW($A$1:$A$313)&lt;prime)*ROW($A$1:$A$313))=0,NA(),SUMPRODUCT((MOD(MOD(H255,prime)*ROW($A$1:$A$313),prime)=1)*(ROW($A$1:$A$313)&lt;prime)*ROW($A$1:$A$313)))</f>
        <v/>
      </c>
      <c r="J255">
        <f>MOD(G255*I255,prime)</f>
        <v/>
      </c>
    </row>
    <row r="256">
      <c r="A256" t="n">
        <v>251</v>
      </c>
      <c r="B256">
        <f>MOD(J255*J255-B255-Gx,prime)</f>
        <v/>
      </c>
      <c r="C256">
        <f>MOD(J255*(Gx-B256)-Gy,prime)</f>
        <v/>
      </c>
      <c r="D256">
        <f>MOD(C256*C256,prime)</f>
        <v/>
      </c>
      <c r="E256">
        <f>MOD(B256^3+a*B256+b,prime)</f>
        <v/>
      </c>
      <c r="G256">
        <f>MOD(Gy-C256,prime)</f>
        <v/>
      </c>
      <c r="H256">
        <f>MOD(Gx-B256,prime)</f>
        <v/>
      </c>
      <c r="I256">
        <f>IF(SUMPRODUCT((MOD(MOD(H256,prime)*ROW($A$1:$A$313),prime)=1)*(ROW($A$1:$A$313)&lt;prime)*ROW($A$1:$A$313))=0,NA(),SUMPRODUCT((MOD(MOD(H256,prime)*ROW($A$1:$A$313),prime)=1)*(ROW($A$1:$A$313)&lt;prime)*ROW($A$1:$A$313)))</f>
        <v/>
      </c>
      <c r="J256">
        <f>MOD(G256*I256,prime)</f>
        <v/>
      </c>
    </row>
    <row r="257">
      <c r="A257" t="n">
        <v>252</v>
      </c>
      <c r="B257">
        <f>MOD(J256*J256-B256-Gx,prime)</f>
        <v/>
      </c>
      <c r="C257">
        <f>MOD(J256*(Gx-B257)-Gy,prime)</f>
        <v/>
      </c>
      <c r="D257">
        <f>MOD(C257*C257,prime)</f>
        <v/>
      </c>
      <c r="E257">
        <f>MOD(B257^3+a*B257+b,prime)</f>
        <v/>
      </c>
      <c r="G257">
        <f>MOD(Gy-C257,prime)</f>
        <v/>
      </c>
      <c r="H257">
        <f>MOD(Gx-B257,prime)</f>
        <v/>
      </c>
      <c r="I257">
        <f>IF(SUMPRODUCT((MOD(MOD(H257,prime)*ROW($A$1:$A$313),prime)=1)*(ROW($A$1:$A$313)&lt;prime)*ROW($A$1:$A$313))=0,NA(),SUMPRODUCT((MOD(MOD(H257,prime)*ROW($A$1:$A$313),prime)=1)*(ROW($A$1:$A$313)&lt;prime)*ROW($A$1:$A$313)))</f>
        <v/>
      </c>
      <c r="J257">
        <f>MOD(G257*I257,prime)</f>
        <v/>
      </c>
    </row>
    <row r="258">
      <c r="A258" t="n">
        <v>253</v>
      </c>
      <c r="B258">
        <f>MOD(J257*J257-B257-Gx,prime)</f>
        <v/>
      </c>
      <c r="C258">
        <f>MOD(J257*(Gx-B258)-Gy,prime)</f>
        <v/>
      </c>
      <c r="D258">
        <f>MOD(C258*C258,prime)</f>
        <v/>
      </c>
      <c r="E258">
        <f>MOD(B258^3+a*B258+b,prime)</f>
        <v/>
      </c>
      <c r="G258">
        <f>MOD(Gy-C258,prime)</f>
        <v/>
      </c>
      <c r="H258">
        <f>MOD(Gx-B258,prime)</f>
        <v/>
      </c>
      <c r="I258">
        <f>IF(SUMPRODUCT((MOD(MOD(H258,prime)*ROW($A$1:$A$313),prime)=1)*(ROW($A$1:$A$313)&lt;prime)*ROW($A$1:$A$313))=0,NA(),SUMPRODUCT((MOD(MOD(H258,prime)*ROW($A$1:$A$313),prime)=1)*(ROW($A$1:$A$313)&lt;prime)*ROW($A$1:$A$313)))</f>
        <v/>
      </c>
      <c r="J258">
        <f>MOD(G258*I258,prime)</f>
        <v/>
      </c>
    </row>
    <row r="259">
      <c r="A259" t="n">
        <v>254</v>
      </c>
      <c r="B259">
        <f>MOD(J258*J258-B258-Gx,prime)</f>
        <v/>
      </c>
      <c r="C259">
        <f>MOD(J258*(Gx-B259)-Gy,prime)</f>
        <v/>
      </c>
      <c r="D259">
        <f>MOD(C259*C259,prime)</f>
        <v/>
      </c>
      <c r="E259">
        <f>MOD(B259^3+a*B259+b,prime)</f>
        <v/>
      </c>
      <c r="G259">
        <f>MOD(Gy-C259,prime)</f>
        <v/>
      </c>
      <c r="H259">
        <f>MOD(Gx-B259,prime)</f>
        <v/>
      </c>
      <c r="I259">
        <f>IF(SUMPRODUCT((MOD(MOD(H259,prime)*ROW($A$1:$A$313),prime)=1)*(ROW($A$1:$A$313)&lt;prime)*ROW($A$1:$A$313))=0,NA(),SUMPRODUCT((MOD(MOD(H259,prime)*ROW($A$1:$A$313),prime)=1)*(ROW($A$1:$A$313)&lt;prime)*ROW($A$1:$A$313)))</f>
        <v/>
      </c>
      <c r="J259">
        <f>MOD(G259*I259,prime)</f>
        <v/>
      </c>
    </row>
    <row r="260">
      <c r="A260" t="n">
        <v>255</v>
      </c>
      <c r="B260">
        <f>MOD(J259*J259-B259-Gx,prime)</f>
        <v/>
      </c>
      <c r="C260">
        <f>MOD(J259*(Gx-B260)-Gy,prime)</f>
        <v/>
      </c>
      <c r="D260">
        <f>MOD(C260*C260,prime)</f>
        <v/>
      </c>
      <c r="E260">
        <f>MOD(B260^3+a*B260+b,prime)</f>
        <v/>
      </c>
      <c r="G260">
        <f>MOD(Gy-C260,prime)</f>
        <v/>
      </c>
      <c r="H260">
        <f>MOD(Gx-B260,prime)</f>
        <v/>
      </c>
      <c r="I260">
        <f>IF(SUMPRODUCT((MOD(MOD(H260,prime)*ROW($A$1:$A$313),prime)=1)*(ROW($A$1:$A$313)&lt;prime)*ROW($A$1:$A$313))=0,NA(),SUMPRODUCT((MOD(MOD(H260,prime)*ROW($A$1:$A$313),prime)=1)*(ROW($A$1:$A$313)&lt;prime)*ROW($A$1:$A$313)))</f>
        <v/>
      </c>
      <c r="J260">
        <f>MOD(G260*I260,prime)</f>
        <v/>
      </c>
    </row>
    <row r="261">
      <c r="A261" t="n">
        <v>256</v>
      </c>
      <c r="B261">
        <f>MOD(J260*J260-B260-Gx,prime)</f>
        <v/>
      </c>
      <c r="C261">
        <f>MOD(J260*(Gx-B261)-Gy,prime)</f>
        <v/>
      </c>
      <c r="D261">
        <f>MOD(C261*C261,prime)</f>
        <v/>
      </c>
      <c r="E261">
        <f>MOD(B261^3+a*B261+b,prime)</f>
        <v/>
      </c>
      <c r="G261">
        <f>MOD(Gy-C261,prime)</f>
        <v/>
      </c>
      <c r="H261">
        <f>MOD(Gx-B261,prime)</f>
        <v/>
      </c>
      <c r="I261">
        <f>IF(SUMPRODUCT((MOD(MOD(H261,prime)*ROW($A$1:$A$313),prime)=1)*(ROW($A$1:$A$313)&lt;prime)*ROW($A$1:$A$313))=0,NA(),SUMPRODUCT((MOD(MOD(H261,prime)*ROW($A$1:$A$313),prime)=1)*(ROW($A$1:$A$313)&lt;prime)*ROW($A$1:$A$313)))</f>
        <v/>
      </c>
      <c r="J261">
        <f>MOD(G261*I261,prime)</f>
        <v/>
      </c>
    </row>
    <row r="262">
      <c r="A262" t="n">
        <v>257</v>
      </c>
      <c r="B262">
        <f>MOD(J261*J261-B261-Gx,prime)</f>
        <v/>
      </c>
      <c r="C262">
        <f>MOD(J261*(Gx-B262)-Gy,prime)</f>
        <v/>
      </c>
      <c r="D262">
        <f>MOD(C262*C262,prime)</f>
        <v/>
      </c>
      <c r="E262">
        <f>MOD(B262^3+a*B262+b,prime)</f>
        <v/>
      </c>
      <c r="G262">
        <f>MOD(Gy-C262,prime)</f>
        <v/>
      </c>
      <c r="H262">
        <f>MOD(Gx-B262,prime)</f>
        <v/>
      </c>
      <c r="I262">
        <f>IF(SUMPRODUCT((MOD(MOD(H262,prime)*ROW($A$1:$A$313),prime)=1)*(ROW($A$1:$A$313)&lt;prime)*ROW($A$1:$A$313))=0,NA(),SUMPRODUCT((MOD(MOD(H262,prime)*ROW($A$1:$A$313),prime)=1)*(ROW($A$1:$A$313)&lt;prime)*ROW($A$1:$A$313)))</f>
        <v/>
      </c>
      <c r="J262">
        <f>MOD(G262*I262,prime)</f>
        <v/>
      </c>
    </row>
    <row r="263">
      <c r="A263" t="n">
        <v>258</v>
      </c>
      <c r="B263">
        <f>MOD(J262*J262-B262-Gx,prime)</f>
        <v/>
      </c>
      <c r="C263">
        <f>MOD(J262*(Gx-B263)-Gy,prime)</f>
        <v/>
      </c>
      <c r="D263">
        <f>MOD(C263*C263,prime)</f>
        <v/>
      </c>
      <c r="E263">
        <f>MOD(B263^3+a*B263+b,prime)</f>
        <v/>
      </c>
      <c r="G263">
        <f>MOD(Gy-C263,prime)</f>
        <v/>
      </c>
      <c r="H263">
        <f>MOD(Gx-B263,prime)</f>
        <v/>
      </c>
      <c r="I263">
        <f>IF(SUMPRODUCT((MOD(MOD(H263,prime)*ROW($A$1:$A$313),prime)=1)*(ROW($A$1:$A$313)&lt;prime)*ROW($A$1:$A$313))=0,NA(),SUMPRODUCT((MOD(MOD(H263,prime)*ROW($A$1:$A$313),prime)=1)*(ROW($A$1:$A$313)&lt;prime)*ROW($A$1:$A$313)))</f>
        <v/>
      </c>
      <c r="J263">
        <f>MOD(G263*I263,prime)</f>
        <v/>
      </c>
    </row>
    <row r="264">
      <c r="A264" t="n">
        <v>259</v>
      </c>
      <c r="B264">
        <f>MOD(J263*J263-B263-Gx,prime)</f>
        <v/>
      </c>
      <c r="C264">
        <f>MOD(J263*(Gx-B264)-Gy,prime)</f>
        <v/>
      </c>
      <c r="D264">
        <f>MOD(C264*C264,prime)</f>
        <v/>
      </c>
      <c r="E264">
        <f>MOD(B264^3+a*B264+b,prime)</f>
        <v/>
      </c>
      <c r="G264">
        <f>MOD(Gy-C264,prime)</f>
        <v/>
      </c>
      <c r="H264">
        <f>MOD(Gx-B264,prime)</f>
        <v/>
      </c>
      <c r="I264">
        <f>IF(SUMPRODUCT((MOD(MOD(H264,prime)*ROW($A$1:$A$313),prime)=1)*(ROW($A$1:$A$313)&lt;prime)*ROW($A$1:$A$313))=0,NA(),SUMPRODUCT((MOD(MOD(H264,prime)*ROW($A$1:$A$313),prime)=1)*(ROW($A$1:$A$313)&lt;prime)*ROW($A$1:$A$313)))</f>
        <v/>
      </c>
      <c r="J264">
        <f>MOD(G264*I264,prime)</f>
        <v/>
      </c>
    </row>
    <row r="265">
      <c r="A265" t="n">
        <v>260</v>
      </c>
      <c r="B265">
        <f>MOD(J264*J264-B264-Gx,prime)</f>
        <v/>
      </c>
      <c r="C265">
        <f>MOD(J264*(Gx-B265)-Gy,prime)</f>
        <v/>
      </c>
      <c r="D265">
        <f>MOD(C265*C265,prime)</f>
        <v/>
      </c>
      <c r="E265">
        <f>MOD(B265^3+a*B265+b,prime)</f>
        <v/>
      </c>
      <c r="G265">
        <f>MOD(Gy-C265,prime)</f>
        <v/>
      </c>
      <c r="H265">
        <f>MOD(Gx-B265,prime)</f>
        <v/>
      </c>
      <c r="I265">
        <f>IF(SUMPRODUCT((MOD(MOD(H265,prime)*ROW($A$1:$A$313),prime)=1)*(ROW($A$1:$A$313)&lt;prime)*ROW($A$1:$A$313))=0,NA(),SUMPRODUCT((MOD(MOD(H265,prime)*ROW($A$1:$A$313),prime)=1)*(ROW($A$1:$A$313)&lt;prime)*ROW($A$1:$A$313)))</f>
        <v/>
      </c>
      <c r="J265">
        <f>MOD(G265*I265,prime)</f>
        <v/>
      </c>
    </row>
    <row r="266">
      <c r="A266" t="n">
        <v>261</v>
      </c>
      <c r="B266">
        <f>MOD(J265*J265-B265-Gx,prime)</f>
        <v/>
      </c>
      <c r="C266">
        <f>MOD(J265*(Gx-B266)-Gy,prime)</f>
        <v/>
      </c>
      <c r="D266">
        <f>MOD(C266*C266,prime)</f>
        <v/>
      </c>
      <c r="E266">
        <f>MOD(B266^3+a*B266+b,prime)</f>
        <v/>
      </c>
      <c r="G266">
        <f>MOD(Gy-C266,prime)</f>
        <v/>
      </c>
      <c r="H266">
        <f>MOD(Gx-B266,prime)</f>
        <v/>
      </c>
      <c r="I266">
        <f>IF(SUMPRODUCT((MOD(MOD(H266,prime)*ROW($A$1:$A$313),prime)=1)*(ROW($A$1:$A$313)&lt;prime)*ROW($A$1:$A$313))=0,NA(),SUMPRODUCT((MOD(MOD(H266,prime)*ROW($A$1:$A$313),prime)=1)*(ROW($A$1:$A$313)&lt;prime)*ROW($A$1:$A$313)))</f>
        <v/>
      </c>
      <c r="J266">
        <f>MOD(G266*I266,prime)</f>
        <v/>
      </c>
    </row>
    <row r="267">
      <c r="A267" t="n">
        <v>262</v>
      </c>
      <c r="B267">
        <f>MOD(J266*J266-B266-Gx,prime)</f>
        <v/>
      </c>
      <c r="C267">
        <f>MOD(J266*(Gx-B267)-Gy,prime)</f>
        <v/>
      </c>
      <c r="D267">
        <f>MOD(C267*C267,prime)</f>
        <v/>
      </c>
      <c r="E267">
        <f>MOD(B267^3+a*B267+b,prime)</f>
        <v/>
      </c>
      <c r="G267">
        <f>MOD(Gy-C267,prime)</f>
        <v/>
      </c>
      <c r="H267">
        <f>MOD(Gx-B267,prime)</f>
        <v/>
      </c>
      <c r="I267">
        <f>IF(SUMPRODUCT((MOD(MOD(H267,prime)*ROW($A$1:$A$313),prime)=1)*(ROW($A$1:$A$313)&lt;prime)*ROW($A$1:$A$313))=0,NA(),SUMPRODUCT((MOD(MOD(H267,prime)*ROW($A$1:$A$313),prime)=1)*(ROW($A$1:$A$313)&lt;prime)*ROW($A$1:$A$313)))</f>
        <v/>
      </c>
      <c r="J267">
        <f>MOD(G267*I267,prime)</f>
        <v/>
      </c>
    </row>
    <row r="268">
      <c r="A268" t="n">
        <v>263</v>
      </c>
      <c r="B268">
        <f>MOD(J267*J267-B267-Gx,prime)</f>
        <v/>
      </c>
      <c r="C268">
        <f>MOD(J267*(Gx-B268)-Gy,prime)</f>
        <v/>
      </c>
      <c r="D268">
        <f>MOD(C268*C268,prime)</f>
        <v/>
      </c>
      <c r="E268">
        <f>MOD(B268^3+a*B268+b,prime)</f>
        <v/>
      </c>
      <c r="G268">
        <f>MOD(Gy-C268,prime)</f>
        <v/>
      </c>
      <c r="H268">
        <f>MOD(Gx-B268,prime)</f>
        <v/>
      </c>
      <c r="I268">
        <f>IF(SUMPRODUCT((MOD(MOD(H268,prime)*ROW($A$1:$A$313),prime)=1)*(ROW($A$1:$A$313)&lt;prime)*ROW($A$1:$A$313))=0,NA(),SUMPRODUCT((MOD(MOD(H268,prime)*ROW($A$1:$A$313),prime)=1)*(ROW($A$1:$A$313)&lt;prime)*ROW($A$1:$A$313)))</f>
        <v/>
      </c>
      <c r="J268">
        <f>MOD(G268*I268,prime)</f>
        <v/>
      </c>
    </row>
    <row r="269">
      <c r="A269" t="n">
        <v>264</v>
      </c>
      <c r="B269">
        <f>MOD(J268*J268-B268-Gx,prime)</f>
        <v/>
      </c>
      <c r="C269">
        <f>MOD(J268*(Gx-B269)-Gy,prime)</f>
        <v/>
      </c>
      <c r="D269">
        <f>MOD(C269*C269,prime)</f>
        <v/>
      </c>
      <c r="E269">
        <f>MOD(B269^3+a*B269+b,prime)</f>
        <v/>
      </c>
      <c r="G269">
        <f>MOD(Gy-C269,prime)</f>
        <v/>
      </c>
      <c r="H269">
        <f>MOD(Gx-B269,prime)</f>
        <v/>
      </c>
      <c r="I269">
        <f>IF(SUMPRODUCT((MOD(MOD(H269,prime)*ROW($A$1:$A$313),prime)=1)*(ROW($A$1:$A$313)&lt;prime)*ROW($A$1:$A$313))=0,NA(),SUMPRODUCT((MOD(MOD(H269,prime)*ROW($A$1:$A$313),prime)=1)*(ROW($A$1:$A$313)&lt;prime)*ROW($A$1:$A$313)))</f>
        <v/>
      </c>
      <c r="J269">
        <f>MOD(G269*I269,prime)</f>
        <v/>
      </c>
    </row>
    <row r="270">
      <c r="A270" t="n">
        <v>265</v>
      </c>
      <c r="B270">
        <f>MOD(J269*J269-B269-Gx,prime)</f>
        <v/>
      </c>
      <c r="C270">
        <f>MOD(J269*(Gx-B270)-Gy,prime)</f>
        <v/>
      </c>
      <c r="D270">
        <f>MOD(C270*C270,prime)</f>
        <v/>
      </c>
      <c r="E270">
        <f>MOD(B270^3+a*B270+b,prime)</f>
        <v/>
      </c>
      <c r="G270">
        <f>MOD(Gy-C270,prime)</f>
        <v/>
      </c>
      <c r="H270">
        <f>MOD(Gx-B270,prime)</f>
        <v/>
      </c>
      <c r="I270">
        <f>IF(SUMPRODUCT((MOD(MOD(H270,prime)*ROW($A$1:$A$313),prime)=1)*(ROW($A$1:$A$313)&lt;prime)*ROW($A$1:$A$313))=0,NA(),SUMPRODUCT((MOD(MOD(H270,prime)*ROW($A$1:$A$313),prime)=1)*(ROW($A$1:$A$313)&lt;prime)*ROW($A$1:$A$313)))</f>
        <v/>
      </c>
      <c r="J270">
        <f>MOD(G270*I270,prime)</f>
        <v/>
      </c>
    </row>
    <row r="271">
      <c r="A271" t="n">
        <v>266</v>
      </c>
      <c r="B271">
        <f>MOD(J270*J270-B270-Gx,prime)</f>
        <v/>
      </c>
      <c r="C271">
        <f>MOD(J270*(Gx-B271)-Gy,prime)</f>
        <v/>
      </c>
      <c r="D271">
        <f>MOD(C271*C271,prime)</f>
        <v/>
      </c>
      <c r="E271">
        <f>MOD(B271^3+a*B271+b,prime)</f>
        <v/>
      </c>
      <c r="G271">
        <f>MOD(Gy-C271,prime)</f>
        <v/>
      </c>
      <c r="H271">
        <f>MOD(Gx-B271,prime)</f>
        <v/>
      </c>
      <c r="I271">
        <f>IF(SUMPRODUCT((MOD(MOD(H271,prime)*ROW($A$1:$A$313),prime)=1)*(ROW($A$1:$A$313)&lt;prime)*ROW($A$1:$A$313))=0,NA(),SUMPRODUCT((MOD(MOD(H271,prime)*ROW($A$1:$A$313),prime)=1)*(ROW($A$1:$A$313)&lt;prime)*ROW($A$1:$A$313)))</f>
        <v/>
      </c>
      <c r="J271">
        <f>MOD(G271*I271,prime)</f>
        <v/>
      </c>
    </row>
    <row r="272">
      <c r="A272" t="n">
        <v>267</v>
      </c>
      <c r="B272">
        <f>MOD(J271*J271-B271-Gx,prime)</f>
        <v/>
      </c>
      <c r="C272">
        <f>MOD(J271*(Gx-B272)-Gy,prime)</f>
        <v/>
      </c>
      <c r="D272">
        <f>MOD(C272*C272,prime)</f>
        <v/>
      </c>
      <c r="E272">
        <f>MOD(B272^3+a*B272+b,prime)</f>
        <v/>
      </c>
      <c r="G272">
        <f>MOD(Gy-C272,prime)</f>
        <v/>
      </c>
      <c r="H272">
        <f>MOD(Gx-B272,prime)</f>
        <v/>
      </c>
      <c r="I272">
        <f>IF(SUMPRODUCT((MOD(MOD(H272,prime)*ROW($A$1:$A$313),prime)=1)*(ROW($A$1:$A$313)&lt;prime)*ROW($A$1:$A$313))=0,NA(),SUMPRODUCT((MOD(MOD(H272,prime)*ROW($A$1:$A$313),prime)=1)*(ROW($A$1:$A$313)&lt;prime)*ROW($A$1:$A$313)))</f>
        <v/>
      </c>
      <c r="J272">
        <f>MOD(G272*I272,prime)</f>
        <v/>
      </c>
    </row>
    <row r="273">
      <c r="A273" t="n">
        <v>268</v>
      </c>
      <c r="B273">
        <f>MOD(J272*J272-B272-Gx,prime)</f>
        <v/>
      </c>
      <c r="C273">
        <f>MOD(J272*(Gx-B273)-Gy,prime)</f>
        <v/>
      </c>
      <c r="D273">
        <f>MOD(C273*C273,prime)</f>
        <v/>
      </c>
      <c r="E273">
        <f>MOD(B273^3+a*B273+b,prime)</f>
        <v/>
      </c>
      <c r="G273">
        <f>MOD(Gy-C273,prime)</f>
        <v/>
      </c>
      <c r="H273">
        <f>MOD(Gx-B273,prime)</f>
        <v/>
      </c>
      <c r="I273">
        <f>IF(SUMPRODUCT((MOD(MOD(H273,prime)*ROW($A$1:$A$313),prime)=1)*(ROW($A$1:$A$313)&lt;prime)*ROW($A$1:$A$313))=0,NA(),SUMPRODUCT((MOD(MOD(H273,prime)*ROW($A$1:$A$313),prime)=1)*(ROW($A$1:$A$313)&lt;prime)*ROW($A$1:$A$313)))</f>
        <v/>
      </c>
      <c r="J273">
        <f>MOD(G273*I273,prime)</f>
        <v/>
      </c>
    </row>
    <row r="274">
      <c r="A274" t="n">
        <v>269</v>
      </c>
      <c r="B274">
        <f>MOD(J273*J273-B273-Gx,prime)</f>
        <v/>
      </c>
      <c r="C274">
        <f>MOD(J273*(Gx-B274)-Gy,prime)</f>
        <v/>
      </c>
      <c r="D274">
        <f>MOD(C274*C274,prime)</f>
        <v/>
      </c>
      <c r="E274">
        <f>MOD(B274^3+a*B274+b,prime)</f>
        <v/>
      </c>
      <c r="G274">
        <f>MOD(Gy-C274,prime)</f>
        <v/>
      </c>
      <c r="H274">
        <f>MOD(Gx-B274,prime)</f>
        <v/>
      </c>
      <c r="I274">
        <f>IF(SUMPRODUCT((MOD(MOD(H274,prime)*ROW($A$1:$A$313),prime)=1)*(ROW($A$1:$A$313)&lt;prime)*ROW($A$1:$A$313))=0,NA(),SUMPRODUCT((MOD(MOD(H274,prime)*ROW($A$1:$A$313),prime)=1)*(ROW($A$1:$A$313)&lt;prime)*ROW($A$1:$A$313)))</f>
        <v/>
      </c>
      <c r="J274">
        <f>MOD(G274*I274,prime)</f>
        <v/>
      </c>
    </row>
    <row r="275">
      <c r="A275" t="n">
        <v>270</v>
      </c>
      <c r="B275">
        <f>MOD(J274*J274-B274-Gx,prime)</f>
        <v/>
      </c>
      <c r="C275">
        <f>MOD(J274*(Gx-B275)-Gy,prime)</f>
        <v/>
      </c>
      <c r="D275">
        <f>MOD(C275*C275,prime)</f>
        <v/>
      </c>
      <c r="E275">
        <f>MOD(B275^3+a*B275+b,prime)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2026-09-27T18:26:45Z</dcterms:created>
  <dcterms:modified xsi:type="dcterms:W3CDTF">2026-09-27T18:26:46Z</dcterms:modified>
</cp:coreProperties>
</file>